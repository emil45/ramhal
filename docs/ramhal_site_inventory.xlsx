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roperties" sheetId="2" state="visible" r:id="rId4"/>
    <sheet name="Products" sheetId="3" state="visible" r:id="rId5"/>
    <sheet name="Content_Pages" sheetId="4" state="visible" r:id="rId6"/>
    <sheet name="Parsha_FR" sheetId="5" state="visible" r:id="rId7"/>
    <sheet name="Media" sheetId="6" state="visible" r:id="rId8"/>
    <sheet name="Migration_Risks" sheetId="7" state="visible" r:id="rId9"/>
    <sheet name="Open_Ques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<sst xmlns="http://schemas.openxmlformats.org/spreadsheetml/2006/main" count="1552" uniqueCount="708">
  <si>
    <t xml:space="preserve">Ramhal Institute — Website Rebuild: Content Inventory</t>
  </si>
  <si>
    <t xml:space="preserve">Audit of ramhal.com (HE) · frramhal.com (FR) · enramhal.com (EN) — compiled 7 September 2026</t>
  </si>
  <si>
    <t xml:space="preserve">All three domains run on ONE account (depart_id=367044) on an Israeli classic-ASP site builder (Element Israel / Showenter).</t>
  </si>
  <si>
    <t xml:space="preserve">HEADLINE NUMBERS</t>
  </si>
  <si>
    <t xml:space="preserve">Store products, Hebrew site (₪)</t>
  </si>
  <si>
    <t xml:space="preserve">Store products, French site (€)</t>
  </si>
  <si>
    <t xml:space="preserve">Store products, English site ($)</t>
  </si>
  <si>
    <t xml:space="preserve">Total product rows across all three</t>
  </si>
  <si>
    <t xml:space="preserve">French parsha essay pages WITH content</t>
  </si>
  <si>
    <t xml:space="preserve">French parsha pages EMPTY / placeholder</t>
  </si>
  <si>
    <t xml:space="preserve">Content &amp; institutional pages catalogued</t>
  </si>
  <si>
    <t xml:space="preserve">Migration risks logged</t>
  </si>
  <si>
    <t xml:space="preserve">Open questions for the client</t>
  </si>
  <si>
    <t xml:space="preserve">THE BIG PICTURE</t>
  </si>
  <si>
    <t xml:space="preserve">The three sites are one site cloned three times.</t>
  </si>
  <si>
    <t xml:space="preserve">All three declare the same depart_id=367044, share a byte-similar robots.txt, the same asset CDN and an identical Hebrew footer. What differs is CURRENCY (₪ / € / $) and flat shipping (₪30 / €50 / $86) — not language.</t>
  </si>
  <si>
    <t xml:space="preserve">The English site is not in English.</t>
  </si>
  <si>
    <t xml:space="preserve">Roughly 900–1,000 words of genuine English prose exist across 3 pages. Menus, body text, product names and footer are Hebrew. Its 'Books in English' category contains ZERO products — while the HEBREW site sells the institute's 2 English titles, described in Hebrew, priced in shekels.</t>
  </si>
  <si>
    <t xml:space="preserve">The English site has been frozen since ~2017.</t>
  </si>
  <si>
    <t xml:space="preserve">Newest dated item is הילולת הרמח"ל תשע"ז (2017). The Hebrew site carries תשפ"ו (2025/26) content. ~8 years of divergence.</t>
  </si>
  <si>
    <t xml:space="preserve">The French site holds the best original writing — and it is half-built.</t>
  </si>
  <si>
    <t xml:space="preserve">35 substantial French parsha essays, ~85,000–95,000 words, written not translated. But all 8 Devarim pages are empty, the Kabbale / Fêtes / Généraux article categories say 'EN CONSTRUCTION', and all 6 homepage hero tiles return HTTP 500.</t>
  </si>
  <si>
    <t xml:space="preserve">The real asset is YouTube, not the website.</t>
  </si>
  <si>
    <t xml:space="preserve">~1,897 videos, ~3,940 subscribers, ~732,000 views, channel open since 2009, uploading at near-daily cadence in 2026. Plus 259 archived MP3 lessons of אדיר במרום on a THIRD-PARTY site (zohar-israel.com). The website barely surfaces any of it.</t>
  </si>
  <si>
    <t xml:space="preserve">There is no podcast. Anywhere.</t>
  </si>
  <si>
    <t xml:space="preserve">~1,900 videos and 259 MP3s, and no Spotify / Apple / RSS feed. The cheapest large win available.</t>
  </si>
  <si>
    <t xml:space="preserve">Catalogues have drifted apart.</t>
  </si>
  <si>
    <t xml:space="preserve">The three stores do not hold the same books. The דברות הרמח"ל series, זוהר השלם, מחזור כיפור and more exist only on the Hebrew site. Maintaining one catalogue by hand in three places is the daily pain nobody has named.</t>
  </si>
  <si>
    <t xml:space="preserve">Property sprawl is damaging credibility.</t>
  </si>
  <si>
    <t xml:space="preserve">3 main sites + a legacy Yalla storefront with a BROKEN SSL certificate + a jimdofree satellite + dead Google+ links on every page + staging-domain URLs leaking into the live Hebrew nav (ohadc.me.showenter.com).</t>
  </si>
  <si>
    <t xml:space="preserve">Web properties</t>
  </si>
  <si>
    <t xml:space="preserve">Domain</t>
  </si>
  <si>
    <t xml:space="preserve">Language</t>
  </si>
  <si>
    <t xml:space="preserve">Currency</t>
  </si>
  <si>
    <t xml:space="preserve">Status</t>
  </si>
  <si>
    <t xml:space="preserve">Pages</t>
  </si>
  <si>
    <t xml:space="preserve">Products</t>
  </si>
  <si>
    <t xml:space="preserve">Notes</t>
  </si>
  <si>
    <t xml:space="preserve">ramhal.com</t>
  </si>
  <si>
    <t xml:space="preserve">Hebrew</t>
  </si>
  <si>
    <t xml:space="preserve">₪ (ILS)</t>
  </si>
  <si>
    <t xml:space="preserve">LIVE — flagship</t>
  </si>
  <si>
    <t xml:space="preserve">~134</t>
  </si>
  <si>
    <t xml:space="preserve">64</t>
  </si>
  <si>
    <t xml:space="preserve">Active through תשפ"ו (2025/26). The only site still maintained. Store banner: 'החנות באתר בעברית מיועדת אך ורק ללקוחות בישראל' — Israel-only delivery.</t>
  </si>
  <si>
    <t xml:space="preserve">frramhal.com</t>
  </si>
  <si>
    <t xml:space="preserve">French</t>
  </si>
  <si>
    <t xml:space="preserve">€ (EUR)</t>
  </si>
  <si>
    <t xml:space="preserve">LIVE — half-built</t>
  </si>
  <si>
    <t xml:space="preserve">135</t>
  </si>
  <si>
    <t xml:space="preserve">49</t>
  </si>
  <si>
    <t xml:space="preserve">Best original writing (35 parsha essays). But 8 Devarim pages empty, 3 article categories 'EN CONSTRUCTION', all 6 homepage hero tiles HTTP 500.</t>
  </si>
  <si>
    <t xml:space="preserve">enramhal.com</t>
  </si>
  <si>
    <t xml:space="preserve">Hebrew (labelled English)</t>
  </si>
  <si>
    <t xml:space="preserve">$ (USD)</t>
  </si>
  <si>
    <t xml:space="preserve">LIVE — abandoned ~2017</t>
  </si>
  <si>
    <t xml:space="preserve">70</t>
  </si>
  <si>
    <t xml:space="preserve">51</t>
  </si>
  <si>
    <t xml:space="preserve">Menus/body/products Hebrew. ~900 words of real English on 3 pages. 'Books in English' category = 0 products.</t>
  </si>
  <si>
    <t xml:space="preserve">ramhal.yalla.co.il/store/146931</t>
  </si>
  <si>
    <t xml:space="preserve">₪</t>
  </si>
  <si>
    <t xml:space="preserve">LEGACY — unreachable</t>
  </si>
  <si>
    <t xml:space="preserve">?</t>
  </si>
  <si>
    <t xml:space="preserve">Old storefront on the Yalla builder, different store ID (146931). Still search-indexed. BROKEN SSL certificate (hostname mismatch). Decommission or redirect.</t>
  </si>
  <si>
    <t xml:space="preserve">zohar-israel.com</t>
  </si>
  <si>
    <t xml:space="preserve">—</t>
  </si>
  <si>
    <t xml:space="preserve">LIVE — affiliated</t>
  </si>
  <si>
    <t xml:space="preserve">'זוהר לישראל' daily-Zohar project. Hosts 259 MP3 lessons of אדיר במרום — a major audio archive living off-site.</t>
  </si>
  <si>
    <t xml:space="preserve">kabbale-ramhal-france.jimdofree.com</t>
  </si>
  <si>
    <t xml:space="preserve">LIVE — satellite</t>
  </si>
  <si>
    <t xml:space="preserve">Free-tier Jimdo site of French courses. Low-credibility domain. Candidate for consolidation.</t>
  </si>
  <si>
    <t xml:space="preserve">ramhal.net</t>
  </si>
  <si>
    <t xml:space="preserve">LIVE — CONFIRMED NOT AFFILIATED</t>
  </si>
  <si>
    <t xml:space="preserve">Confirmed by the client: nothing to do with Machon Ramhal. A separate organisation (קהילת הרמח"ל) on WordPress, also Ramhal-focused, also selling books. Live brand-confusion risk on a near-identical domain.</t>
  </si>
  <si>
    <t xml:space="preserve">Store catalogue — all three sites</t>
  </si>
  <si>
    <t xml:space="preserve">Prices as displayed on each site. Blank price = product page exists but no price shown. Titles verbatim.</t>
  </si>
  <si>
    <t xml:space="preserve">Site</t>
  </si>
  <si>
    <t xml:space="preserve">Product title (verbatim)</t>
  </si>
  <si>
    <t xml:space="preserve">Category</t>
  </si>
  <si>
    <t xml:space="preserve">Price</t>
  </si>
  <si>
    <t xml:space="preserve">HE</t>
  </si>
  <si>
    <t xml:space="preserve">אור הגנוז</t>
  </si>
  <si>
    <t xml:space="preserve">Books — Hebrew</t>
  </si>
  <si>
    <t xml:space="preserve">ILS</t>
  </si>
  <si>
    <t xml:space="preserve">אדיר במרום הוצאת מכון רמח"ל</t>
  </si>
  <si>
    <t xml:space="preserve">אור עולם</t>
  </si>
  <si>
    <t xml:space="preserve">איגרות הרמח"ל</t>
  </si>
  <si>
    <t xml:space="preserve">ברית מנוחה</t>
  </si>
  <si>
    <t xml:space="preserve">גילוי מלכותו על ר"ה פורמט קטן</t>
  </si>
  <si>
    <t xml:space="preserve">גילוי מלכותו על חג מתן תורה</t>
  </si>
  <si>
    <t xml:space="preserve">גילוי מלכותו על פסח</t>
  </si>
  <si>
    <t xml:space="preserve">דברות הרמח"ל ח"א גאולה-תיקון עולם</t>
  </si>
  <si>
    <t xml:space="preserve">דברות הרמח"ל ח"ב סוד התפילה</t>
  </si>
  <si>
    <t xml:space="preserve">דברות רמח"ל ח"ג סוד האמונה</t>
  </si>
  <si>
    <t xml:space="preserve">דברות הרמח"ל ח"ד סוד התשובה</t>
  </si>
  <si>
    <t xml:space="preserve">דברות רמח"ל ח"ה משיח</t>
  </si>
  <si>
    <t xml:space="preserve">דברות רמח"ל ח"ו בית מקדש</t>
  </si>
  <si>
    <t xml:space="preserve">דברות רמח"ל ח"ז עם ישראל</t>
  </si>
  <si>
    <t xml:space="preserve">דברות רמח"ל ח"ח סוד הקדושה</t>
  </si>
  <si>
    <t xml:space="preserve">דברות רמח"ל סט 7 חלקים</t>
  </si>
  <si>
    <t xml:space="preserve">דעת תבונות</t>
  </si>
  <si>
    <t xml:space="preserve">דרך ה' עם פירוש דרך היחוד</t>
  </si>
  <si>
    <t xml:space="preserve">דרך חכמה</t>
  </si>
  <si>
    <t xml:space="preserve">דרך תבונות השלם</t>
  </si>
  <si>
    <t xml:space="preserve">דרך חכמת האמת</t>
  </si>
  <si>
    <t xml:space="preserve">הגדה של פסח לרמח"ל</t>
  </si>
  <si>
    <t xml:space="preserve">זוהר רשב"י ח"א פרשת בראשית</t>
  </si>
  <si>
    <t xml:space="preserve">זוהר רשב"י ח"ב נח/לך לך/וירא</t>
  </si>
  <si>
    <t xml:space="preserve">לישרים תהילה</t>
  </si>
  <si>
    <t xml:space="preserve">משכני עליון</t>
  </si>
  <si>
    <t xml:space="preserve">מלך העולם</t>
  </si>
  <si>
    <t xml:space="preserve">מסילת ישרים</t>
  </si>
  <si>
    <t xml:space="preserve">מאמר הגאולה</t>
  </si>
  <si>
    <t xml:space="preserve">מחזור ר"ה לרמח"ל</t>
  </si>
  <si>
    <t xml:space="preserve">מחזור כיפור רמח"ל חדש צבע חום</t>
  </si>
  <si>
    <t xml:space="preserve">מחזור כיפור רמח"ל חדש צבע לבן</t>
  </si>
  <si>
    <t xml:space="preserve">סוד היחוד</t>
  </si>
  <si>
    <t xml:space="preserve">סידור כוונות לימות החול (פורמט קטן)</t>
  </si>
  <si>
    <t xml:space="preserve">סידור כוונות לשבת כריכת עור</t>
  </si>
  <si>
    <t xml:space="preserve">סידור שבת פורמט קטן</t>
  </si>
  <si>
    <t xml:space="preserve">עינייני ר"ה ויוה"כ</t>
  </si>
  <si>
    <t xml:space="preserve">פינות המרכבה</t>
  </si>
  <si>
    <t xml:space="preserve">קנאת ה' צבאות</t>
  </si>
  <si>
    <t xml:space="preserve">קל"ח פתחי חכמה</t>
  </si>
  <si>
    <t xml:space="preserve">רכב ישראל</t>
  </si>
  <si>
    <t xml:space="preserve">רזין גניזין תשע"ו (2016)</t>
  </si>
  <si>
    <t xml:space="preserve">תיקונים חדשים</t>
  </si>
  <si>
    <t xml:space="preserve">תפילות לרמח"ל גדול</t>
  </si>
  <si>
    <t xml:space="preserve">זוהר השלם חיבורה קדמאה מהדורה חדשה</t>
  </si>
  <si>
    <t xml:space="preserve">יודעי שמך</t>
  </si>
  <si>
    <t xml:space="preserve">שוד מלכים</t>
  </si>
  <si>
    <t xml:space="preserve">מחול לצדיקים</t>
  </si>
  <si>
    <t xml:space="preserve">סט ספרי הגאולה לרמח"ל</t>
  </si>
  <si>
    <t xml:space="preserve">רבי יעקב מולכו – הגהות במשנה תורה</t>
  </si>
  <si>
    <t xml:space="preserve">דרך השם צרפתית+עברית</t>
  </si>
  <si>
    <t xml:space="preserve">Books — French</t>
  </si>
  <si>
    <t xml:space="preserve">דעת תבונות צרפתית+עברית</t>
  </si>
  <si>
    <t xml:space="preserve">קל"ח פתחי חכמה צרפתית+עברית</t>
  </si>
  <si>
    <t xml:space="preserve">מאמר החכמה בצרפתית</t>
  </si>
  <si>
    <t xml:space="preserve">מאמר הגאולה צרפתית+עברית</t>
  </si>
  <si>
    <t xml:space="preserve">LA KABBALE DE LA REPARATION</t>
  </si>
  <si>
    <t xml:space="preserve">Kabbalah du Arizal</t>
  </si>
  <si>
    <t xml:space="preserve">tikoun olam</t>
  </si>
  <si>
    <t xml:space="preserve">תיקונים חדשים ארמית-צרפתית</t>
  </si>
  <si>
    <t xml:space="preserve">The Sovereignty of Oneness</t>
  </si>
  <si>
    <t xml:space="preserve">Books — English</t>
  </si>
  <si>
    <t xml:space="preserve">The Kabbalah of the Ari Z'al, according to the Ramhal</t>
  </si>
  <si>
    <t xml:space="preserve">תיקון עולם DVD</t>
  </si>
  <si>
    <t xml:space="preserve">CD / DVD</t>
  </si>
  <si>
    <t xml:space="preserve">מבא לחכמת הקבלה 4 DVD</t>
  </si>
  <si>
    <t xml:space="preserve">FR</t>
  </si>
  <si>
    <t xml:space="preserve">MAAMAR HA-HOKHMA</t>
  </si>
  <si>
    <t xml:space="preserve">EUR</t>
  </si>
  <si>
    <t xml:space="preserve">Maamar Ha-Gueoula</t>
  </si>
  <si>
    <t xml:space="preserve">La voix des justes</t>
  </si>
  <si>
    <t xml:space="preserve">La Voie de D.ieu</t>
  </si>
  <si>
    <t xml:space="preserve">Les Voies de la Direction divine</t>
  </si>
  <si>
    <t xml:space="preserve">Kalah Pithé Hokhma, ou la Kabbale signifiante</t>
  </si>
  <si>
    <t xml:space="preserve">L'essence de la Torah - Nouveau format</t>
  </si>
  <si>
    <t xml:space="preserve">Les Soixante Dix Arrangements Tome 1</t>
  </si>
  <si>
    <t xml:space="preserve">Les Soixante Dix Arrangements Tome 2</t>
  </si>
  <si>
    <t xml:space="preserve">מחזור ר"ה עם כוונות הרמח"ל</t>
  </si>
  <si>
    <t xml:space="preserve">la kabbale de la reparation</t>
  </si>
  <si>
    <t xml:space="preserve">LA MÉTAPHYSIQUE DE LʼUNITÉ CHEZ LE RAMHAL</t>
  </si>
  <si>
    <t xml:space="preserve">Tikoun Olam - La Réparation du Monde</t>
  </si>
  <si>
    <t xml:space="preserve">Les Soixante Dix Arrangements - Nouveau format</t>
  </si>
  <si>
    <t xml:space="preserve">גילוי מלכותו ר"ה</t>
  </si>
  <si>
    <t xml:space="preserve">גילוי מלכותו שבועות</t>
  </si>
  <si>
    <t xml:space="preserve">ענייני ר"ה ויוה"כ</t>
  </si>
  <si>
    <t xml:space="preserve">רזין גניזין</t>
  </si>
  <si>
    <t xml:space="preserve">תפילות לרמח"ל פורמט קטן</t>
  </si>
  <si>
    <t xml:space="preserve">סידור חול ור"ח כוונות הרמח"ל (פורמט קטן) במבצע</t>
  </si>
  <si>
    <t xml:space="preserve">דברות הרמח"ל א' גאולה - תיקון עולם</t>
  </si>
  <si>
    <t xml:space="preserve">זוהר רשב"י ח"ב (פרשת נח, לך לך, וירא)</t>
  </si>
  <si>
    <t xml:space="preserve">KALAH PITHE HOKHMA *2 CD MP3</t>
  </si>
  <si>
    <t xml:space="preserve">10 cd cours en francais de rav mordekhai chriqui</t>
  </si>
  <si>
    <t xml:space="preserve">Séminaire sur "L'âme humaine" (1 à 11)</t>
  </si>
  <si>
    <t xml:space="preserve">LES FETES SELON LA CABALE - CD MP3</t>
  </si>
  <si>
    <t xml:space="preserve">PESSAH</t>
  </si>
  <si>
    <t xml:space="preserve">THEMES GENERAUX &amp; CABALE 1 - Set de 2</t>
  </si>
  <si>
    <t xml:space="preserve">THEMES GENERAUX &amp; CABALE 2 - Set de 2 CD - format MP3</t>
  </si>
  <si>
    <t xml:space="preserve">THEMES GENERAUX &amp; CABALE 3 Set de 2 CD</t>
  </si>
  <si>
    <t xml:space="preserve">THEMES GENERAUX &amp; CABALE 4 1 CD</t>
  </si>
  <si>
    <t xml:space="preserve">THEMES GENERAUX &amp; CABALE 5 1 CD</t>
  </si>
  <si>
    <t xml:space="preserve">EN</t>
  </si>
  <si>
    <t xml:space="preserve">USD</t>
  </si>
  <si>
    <t xml:space="preserve">דרך ה'</t>
  </si>
  <si>
    <t xml:space="preserve">זוהר תניינא חלק א'</t>
  </si>
  <si>
    <t xml:space="preserve">מחזור כוונות ר"ה לרמח"ל</t>
  </si>
  <si>
    <t xml:space="preserve">סידור כוונות לימות החול (פורמט קטן) במבצע</t>
  </si>
  <si>
    <t xml:space="preserve">תפילות לרמח"ל (קטן)</t>
  </si>
  <si>
    <t xml:space="preserve">Maamar Ha-Gueoula – Le discours de la délivrance</t>
  </si>
  <si>
    <t xml:space="preserve">1Les Soixante-dix Arrangements</t>
  </si>
  <si>
    <t xml:space="preserve">קל"ח פתחי חכמה cd</t>
  </si>
  <si>
    <t xml:space="preserve">דעת תבונות CD</t>
  </si>
  <si>
    <t xml:space="preserve">דרך ה' CD</t>
  </si>
  <si>
    <t xml:space="preserve">מאמר הגאולה CD</t>
  </si>
  <si>
    <t xml:space="preserve">סוד היחוד CD</t>
  </si>
  <si>
    <t xml:space="preserve">אדיר במרום *2 CD</t>
  </si>
  <si>
    <t xml:space="preserve">מבא לחכמת הקבלה * 4 DVD</t>
  </si>
  <si>
    <t xml:space="preserve">קנאת ה' צבאות CD</t>
  </si>
  <si>
    <t xml:space="preserve">קבלת הרמח"ל CD</t>
  </si>
  <si>
    <t xml:space="preserve">נושאים כלליים 1.2.3. CD</t>
  </si>
  <si>
    <t xml:space="preserve">האילן CD</t>
  </si>
  <si>
    <t xml:space="preserve">ראש השנה CD</t>
  </si>
  <si>
    <t xml:space="preserve">חנוכה CD</t>
  </si>
  <si>
    <t xml:space="preserve">פורים CD</t>
  </si>
  <si>
    <t xml:space="preserve">פסח CD</t>
  </si>
  <si>
    <t xml:space="preserve">תשעה באב</t>
  </si>
  <si>
    <t xml:space="preserve">י"ז בתמוז CD</t>
  </si>
  <si>
    <t xml:space="preserve">Content &amp; institutional pages</t>
  </si>
  <si>
    <t xml:space="preserve">Excludes product pages (see Products) and the French parsha tree (see Parsha_FR).</t>
  </si>
  <si>
    <t xml:space="preserve">Page title</t>
  </si>
  <si>
    <t xml:space="preserve">URL / slug</t>
  </si>
  <si>
    <t xml:space="preserve">Type</t>
  </si>
  <si>
    <t xml:space="preserve">עמוד ראשי</t>
  </si>
  <si>
    <t xml:space="preserve">/</t>
  </si>
  <si>
    <t xml:space="preserve">Home</t>
  </si>
  <si>
    <t xml:space="preserve">Live</t>
  </si>
  <si>
    <t xml:space="preserve">Class schedule, prayer times, product showcase, newsletter form, YouTube embed</t>
  </si>
  <si>
    <t xml:space="preserve">כתבות</t>
  </si>
  <si>
    <t xml:space="preserve">/כתבות.html</t>
  </si>
  <si>
    <t xml:space="preserve">Articles index</t>
  </si>
  <si>
    <t xml:space="preserve">Flat list of 6 articles. No dates, no pagination, no authors.</t>
  </si>
  <si>
    <t xml:space="preserve">חשיבות לימוד הזוהר ע"פ הרמח"ל</t>
  </si>
  <si>
    <t xml:space="preserve">/עניין-לימוד-הזוהר.html</t>
  </si>
  <si>
    <t xml:space="preserve">Article</t>
  </si>
  <si>
    <t xml:space="preserve">Longest article on the site — 8,000+ words with block quotes from Ramhal's letters</t>
  </si>
  <si>
    <t xml:space="preserve">הרמח"ל</t>
  </si>
  <si>
    <t xml:space="preserve">/הרמח-ל.html</t>
  </si>
  <si>
    <t xml:space="preserve">קול קורא</t>
  </si>
  <si>
    <t xml:space="preserve">/קול-קורא.html</t>
  </si>
  <si>
    <t xml:space="preserve">שיעור חדש</t>
  </si>
  <si>
    <t xml:space="preserve">/שיעור-חדש.html</t>
  </si>
  <si>
    <t xml:space="preserve">על הספר מחול לצדיקים</t>
  </si>
  <si>
    <t xml:space="preserve">/על-הספר-מחול-לצדיקים.html</t>
  </si>
  <si>
    <t xml:space="preserve">הילולת הרמח"ל התשע"ח</t>
  </si>
  <si>
    <t xml:space="preserve">/הילולת-הרמח-ל-התשע-ח.html</t>
  </si>
  <si>
    <t xml:space="preserve">מאמרים על חגים</t>
  </si>
  <si>
    <t xml:space="preserve">/מאמרים-על-חגים.html</t>
  </si>
  <si>
    <t xml:space="preserve">Holiday hub</t>
  </si>
  <si>
    <t xml:space="preserve">Hub for 12 holiday teaching pages</t>
  </si>
  <si>
    <t xml:space="preserve">ימים נוראים / סוכות / חנוכה / פורים / פסח / שבועות / ט"ו בשבט / י"ז בתמוז+ת"ב</t>
  </si>
  <si>
    <t xml:space="preserve">various</t>
  </si>
  <si>
    <t xml:space="preserve">Holiday articles</t>
  </si>
  <si>
    <t xml:space="preserve">12 pages. WARNING: text article and video page share a slug distinguished only by a '-1' suffix</t>
  </si>
  <si>
    <t xml:space="preserve">חנוכה באספקלריית הרמח"ל תשפ"ו</t>
  </si>
  <si>
    <t xml:space="preserve">/חנוכה-באספקלריית-הרמח-ל-תשפ-ו.html</t>
  </si>
  <si>
    <t xml:space="preserve">Most recent content marker on any site (2025/26)</t>
  </si>
  <si>
    <t xml:space="preserve">מכון רמח"ל</t>
  </si>
  <si>
    <t xml:space="preserve">/מכון-רמח-ל.html</t>
  </si>
  <si>
    <t xml:space="preserve">Institutional</t>
  </si>
  <si>
    <t xml:space="preserve">Founded 1985 in France by Rabbi Mordechai Shriki</t>
  </si>
  <si>
    <t xml:space="preserve">בית רמח"ל</t>
  </si>
  <si>
    <t xml:space="preserve">/בית-רמח-ל.html</t>
  </si>
  <si>
    <t xml:space="preserve">Har Nof, Jerusalem. Replica of the destroyed Padua synagogue. 1,200 m², 4 floors, ~15 full-time scholars</t>
  </si>
  <si>
    <t xml:space="preserve">תולדות הרמח"ל</t>
  </si>
  <si>
    <t xml:space="preserve">/תולדות-הרמח-ל-1-1.html</t>
  </si>
  <si>
    <t xml:space="preserve">Biography</t>
  </si>
  <si>
    <t xml:space="preserve">Full 1707–1746 biography. DUPLICATE slug also exists without the -1-1</t>
  </si>
  <si>
    <t xml:space="preserve">הרב מרדכי שריקי שליט"א</t>
  </si>
  <si>
    <t xml:space="preserve">/הרב-מרדכי-שריקי-שליט-א.html</t>
  </si>
  <si>
    <t xml:space="preserve">רמח"ל ותורתו</t>
  </si>
  <si>
    <t xml:space="preserve">/רמח-ל-ותורתו.html</t>
  </si>
  <si>
    <t xml:space="preserve">תיקון עולם</t>
  </si>
  <si>
    <t xml:space="preserve">/תיקון-עולם.html</t>
  </si>
  <si>
    <t xml:space="preserve">צור קשר</t>
  </si>
  <si>
    <t xml:space="preserve">/צור-קשר.html</t>
  </si>
  <si>
    <t xml:space="preserve">Contact</t>
  </si>
  <si>
    <t xml:space="preserve">הרב רפאל קצנלבוגן 73, ירושלים · 02-6535101 · 0546-850-857 · ramhalcom@gmail.com · Sun–Thu 09:00–14:00</t>
  </si>
  <si>
    <t xml:space="preserve">לתרומות להדפסת הספרים</t>
  </si>
  <si>
    <t xml:space="preserve">/לתרומות...html</t>
  </si>
  <si>
    <t xml:space="preserve">Donations</t>
  </si>
  <si>
    <t xml:space="preserve">PayPal link + phone credit card. No bank details exposed.</t>
  </si>
  <si>
    <t xml:space="preserve">חדשות / חדשות-1 / עמודה ימנית / גיבוי / test / ספרי-הרמח-ל / שיעור-יומי-בזוהר</t>
  </si>
  <si>
    <t xml:space="preserve">STUB</t>
  </si>
  <si>
    <t xml:space="preserve">Empty</t>
  </si>
  <si>
    <t xml:space="preserve">7 pages that render the homepage template with only the &lt;title&gt; differing. Safe to drop.</t>
  </si>
  <si>
    <t xml:space="preserve">Accueil</t>
  </si>
  <si>
    <t xml:space="preserve">BROKEN</t>
  </si>
  <si>
    <t xml:space="preserve">All 6 hero tiles return HTTP 500</t>
  </si>
  <si>
    <t xml:space="preserve">Le Ramhal et son enseignement</t>
  </si>
  <si>
    <t xml:space="preserve">/Le-Ramhal-at-son-enseignement.html</t>
  </si>
  <si>
    <t xml:space="preserve">~2,500 words</t>
  </si>
  <si>
    <t xml:space="preserve">Beth Ramhal</t>
  </si>
  <si>
    <t xml:space="preserve">/Institute-Ramhal.html</t>
  </si>
  <si>
    <t xml:space="preserve">~400–500 words. NOTE: title/URL swapped with the next row</t>
  </si>
  <si>
    <t xml:space="preserve">Institut Ramhal</t>
  </si>
  <si>
    <t xml:space="preserve">/Beit-Ramhal.html</t>
  </si>
  <si>
    <t xml:space="preserve">~280 words. Founded 1985, 25+ books published, 8 in French</t>
  </si>
  <si>
    <t xml:space="preserve">La page du rav Mordékhai Chriqui</t>
  </si>
  <si>
    <t xml:space="preserve">/La-page-du-rav-Mordekhai-Chriqui.html</t>
  </si>
  <si>
    <t xml:space="preserve">Hub</t>
  </si>
  <si>
    <t xml:space="preserve">~500–700 words</t>
  </si>
  <si>
    <t xml:space="preserve">Tikoun Olam</t>
  </si>
  <si>
    <t xml:space="preserve">/Tikun-Olam-1.html</t>
  </si>
  <si>
    <t xml:space="preserve">~150–200 words + 5 YouTube embeds</t>
  </si>
  <si>
    <t xml:space="preserve">contactez nous</t>
  </si>
  <si>
    <t xml:space="preserve">/צור-קשר-1-1.html</t>
  </si>
  <si>
    <t xml:space="preserve">73 Katzenelbogen St, Jerusalem 91431 · +972-2-653-5101 · fax +972-2-651-0821 · ramhal1@bezeqint.net</t>
  </si>
  <si>
    <t xml:space="preserve">Articles KABBALE</t>
  </si>
  <si>
    <t xml:space="preserve">/Articles-KABBALE.html</t>
  </si>
  <si>
    <t xml:space="preserve">Article category</t>
  </si>
  <si>
    <t xml:space="preserve">EMPTY</t>
  </si>
  <si>
    <t xml:space="preserve">'EN CONSTRUCTION' — zero articles</t>
  </si>
  <si>
    <t xml:space="preserve">Articles FÊTES</t>
  </si>
  <si>
    <t xml:space="preserve">/Articles-FÊTES.html</t>
  </si>
  <si>
    <t xml:space="preserve">Articles GÉNÉRAUX</t>
  </si>
  <si>
    <t xml:space="preserve">/Articles-GÉNÉRAUX.html</t>
  </si>
  <si>
    <t xml:space="preserve">YYY</t>
  </si>
  <si>
    <t xml:space="preserve">/YYY.html</t>
  </si>
  <si>
    <t xml:space="preserve">Placeholder</t>
  </si>
  <si>
    <t xml:space="preserve">Untitled placeholder left in the live nav</t>
  </si>
  <si>
    <t xml:space="preserve">SOUCCOT OU LES GRANDES FIGURES DE LA FOI JUIVE</t>
  </si>
  <si>
    <t xml:space="preserve">/טור-אישי-1.html</t>
  </si>
  <si>
    <t xml:space="preserve">Essay</t>
  </si>
  <si>
    <t xml:space="preserve">~2,800 words. Listed as 'Colonne personnelles'</t>
  </si>
  <si>
    <t xml:space="preserve">KIPPOUR OU LE RETOUR À LA RACINE PREMIÈRE</t>
  </si>
  <si>
    <t xml:space="preserve">/Hanouka.html</t>
  </si>
  <si>
    <t xml:space="preserve">~320 words, dated 11/10/2015, signed M.C. NOTE the misleading filename</t>
  </si>
  <si>
    <t xml:space="preserve">Cours enregistrés</t>
  </si>
  <si>
    <t xml:space="preserve">/Cours-enregistres.html</t>
  </si>
  <si>
    <t xml:space="preserve">Media hub</t>
  </si>
  <si>
    <t xml:space="preserve">5 children incl. SEMINAIRE-KALAH, mp3, video pages</t>
  </si>
  <si>
    <t xml:space="preserve">mp3</t>
  </si>
  <si>
    <t xml:space="preserve">/mp3-1.html</t>
  </si>
  <si>
    <t xml:space="preserve">Media</t>
  </si>
  <si>
    <t xml:space="preserve">Despite the name: no audio files, no links, no player</t>
  </si>
  <si>
    <t xml:space="preserve">Boutique en ligne</t>
  </si>
  <si>
    <t xml:space="preserve">/Botiquw-en-ligne.html</t>
  </si>
  <si>
    <t xml:space="preserve">Store hub</t>
  </si>
  <si>
    <t xml:space="preserve">NOTE the typo in the slug</t>
  </si>
  <si>
    <t xml:space="preserve">Category / תיקון-עולם / הרב-מרדכי-שריקי / רמח-ל-ותורתו / שיעורים-מוקלטים / מכון-רמח-ל</t>
  </si>
  <si>
    <t xml:space="preserve">HTTP 500</t>
  </si>
  <si>
    <t xml:space="preserve">The 6 homepage hero tiles. A link-following crawler hits these first.</t>
  </si>
  <si>
    <t xml:space="preserve">Home Page</t>
  </si>
  <si>
    <t xml:space="preserve">Hebrew body text, USD prices</t>
  </si>
  <si>
    <t xml:space="preserve">Ramhal Institute</t>
  </si>
  <si>
    <t xml:space="preserve">/Ramhal-Institute.html</t>
  </si>
  <si>
    <t xml:space="preserve">~240 words of REAL English — machine-translated from French ('Kalah Hochma Pith', 'awards' for bourses)</t>
  </si>
  <si>
    <t xml:space="preserve">Ramhal and its Tora</t>
  </si>
  <si>
    <t xml:space="preserve">/Ramhal-and-its-Tora.html</t>
  </si>
  <si>
    <t xml:space="preserve">~600 words of REAL English</t>
  </si>
  <si>
    <t xml:space="preserve">Biography of the Ramchal</t>
  </si>
  <si>
    <t xml:space="preserve">/Ramhal-Institute-1.html</t>
  </si>
  <si>
    <t xml:space="preserve">English biography</t>
  </si>
  <si>
    <t xml:space="preserve">Contact Us</t>
  </si>
  <si>
    <t xml:space="preserve">/צור-קשר-1.html</t>
  </si>
  <si>
    <t xml:space="preserve">One English sentence + English address; rest Hebrew</t>
  </si>
  <si>
    <t xml:space="preserve">Bait Ramchal</t>
  </si>
  <si>
    <t xml:space="preserve">/Bait-Ramchal.html</t>
  </si>
  <si>
    <t xml:space="preserve">Body is HEBREW despite English menu label</t>
  </si>
  <si>
    <t xml:space="preserve">Tikun Olam</t>
  </si>
  <si>
    <t xml:space="preserve">/Tikun-Olam.html</t>
  </si>
  <si>
    <t xml:space="preserve">No unique content — shared Hebrew sidebar only</t>
  </si>
  <si>
    <t xml:space="preserve">Rabbi Mordechai Shriki</t>
  </si>
  <si>
    <t xml:space="preserve">/Rabbi-Mordechai-Shriki.html</t>
  </si>
  <si>
    <t xml:space="preserve">Recorded Lectures</t>
  </si>
  <si>
    <t xml:space="preserve">/Recorded-Lectures.html</t>
  </si>
  <si>
    <t xml:space="preserve">No unique content</t>
  </si>
  <si>
    <t xml:space="preserve">/mp3-1-1.html</t>
  </si>
  <si>
    <t xml:space="preserve">Books in English</t>
  </si>
  <si>
    <t xml:space="preserve">/BOOKS.html</t>
  </si>
  <si>
    <t xml:space="preserve">Store category</t>
  </si>
  <si>
    <t xml:space="preserve">ZERO products — while the Hebrew site sells the institute's 2 English titles</t>
  </si>
  <si>
    <t xml:space="preserve">הילולת הרמח"ל תשע"ז</t>
  </si>
  <si>
    <t xml:space="preserve">/הילולת-הרמח-ל-תשע-ז-1-1.html</t>
  </si>
  <si>
    <t xml:space="preserve">Stale</t>
  </si>
  <si>
    <t xml:space="preserve">2017 — the newest dated item on the entire English site</t>
  </si>
  <si>
    <t xml:space="preserve">French parsha commentary — the institute's best original writing</t>
  </si>
  <si>
    <t xml:space="preserve">44 pages · 35 with essays · 9 empty · ~85,000–95,000 words of original French. Root: /מאמרים-על-פרשת-השבוע.html ('L'essence de la Torah')</t>
  </si>
  <si>
    <t xml:space="preserve">Book</t>
  </si>
  <si>
    <t xml:space="preserve">Parsha</t>
  </si>
  <si>
    <t xml:space="preserve">URL</t>
  </si>
  <si>
    <t xml:space="preserve">Article title as published</t>
  </si>
  <si>
    <t xml:space="preserve">Approx. words</t>
  </si>
  <si>
    <t xml:space="preserve">Genèse</t>
  </si>
  <si>
    <t xml:space="preserve">BERECHIT</t>
  </si>
  <si>
    <t xml:space="preserve">/פרשת-בראשית.html</t>
  </si>
  <si>
    <t xml:space="preserve">(untitled) — essay on the opening verses of Genesis</t>
  </si>
  <si>
    <t xml:space="preserve">4200-4500</t>
  </si>
  <si>
    <t xml:space="preserve">NOA'H</t>
  </si>
  <si>
    <t xml:space="preserve">/NOUVEAU.html</t>
  </si>
  <si>
    <t xml:space="preserve">(untitled) — the Flood and the Ark. ⚠ SLUG ACCIDENT: lives at /NOUVEAU.html</t>
  </si>
  <si>
    <t xml:space="preserve">3500</t>
  </si>
  <si>
    <t xml:space="preserve">LEKH LEKHA</t>
  </si>
  <si>
    <t xml:space="preserve">/LEKH-LEKHA.html</t>
  </si>
  <si>
    <t xml:space="preserve">LEKH LEKHA: AVRAHAM, LUMIERE ET ESPERANCE DU MONDE</t>
  </si>
  <si>
    <t xml:space="preserve">3200</t>
  </si>
  <si>
    <t xml:space="preserve">VAYERA</t>
  </si>
  <si>
    <t xml:space="preserve">/vayera.html</t>
  </si>
  <si>
    <t xml:space="preserve">VAYERA: LE LIGOTAGE D'ISAAC, OU COMMENT TRANSFORMER LA VOLONTE HUMAINE EN VOLONTE DIVINE</t>
  </si>
  <si>
    <t xml:space="preserve">8500</t>
  </si>
  <si>
    <t xml:space="preserve">HAYE SARAH</t>
  </si>
  <si>
    <t xml:space="preserve">/haye-sarah.html</t>
  </si>
  <si>
    <t xml:space="preserve">HAYE SARAH: LE FEMININ VECTEUR DE LA REDEMPTION</t>
  </si>
  <si>
    <t xml:space="preserve">2800-3000</t>
  </si>
  <si>
    <t xml:space="preserve">TOLDOT</t>
  </si>
  <si>
    <t xml:space="preserve">/toldot.html</t>
  </si>
  <si>
    <t xml:space="preserve">VAYETSE</t>
  </si>
  <si>
    <t xml:space="preserve">/vayetse.html</t>
  </si>
  <si>
    <t xml:space="preserve">VAYETSE: L'EXIL DE JACOB CHEZ LABAN OU LE TIKOUN DE TOUTES LES AMES D'ISRAËL</t>
  </si>
  <si>
    <t xml:space="preserve">2800</t>
  </si>
  <si>
    <t xml:space="preserve">VAYICHLAH</t>
  </si>
  <si>
    <t xml:space="preserve">/vayichlah.html</t>
  </si>
  <si>
    <t xml:space="preserve">VAYICHLACH: LE COMBAT DE JACOB OU L'UNIFICATION DU CIEL ET DE LA TERRE</t>
  </si>
  <si>
    <t xml:space="preserve">2100</t>
  </si>
  <si>
    <t xml:space="preserve">VAYECHEV</t>
  </si>
  <si>
    <t xml:space="preserve">/vayechev.html</t>
  </si>
  <si>
    <t xml:space="preserve">VAYECHEV: LA DIFFICILE UNION DES DEUX MESSIES</t>
  </si>
  <si>
    <t xml:space="preserve">2400</t>
  </si>
  <si>
    <t xml:space="preserve">MIKETS-HANOUKA</t>
  </si>
  <si>
    <t xml:space="preserve">/mikets-hanouka.html</t>
  </si>
  <si>
    <t xml:space="preserve">(no title line)</t>
  </si>
  <si>
    <t xml:space="preserve">3800-4000</t>
  </si>
  <si>
    <t xml:space="preserve">VAYIGACH</t>
  </si>
  <si>
    <t xml:space="preserve">/vayigach.html</t>
  </si>
  <si>
    <t xml:space="preserve">VAYIGACH - OU L'UNION DES DEUX MESSIES</t>
  </si>
  <si>
    <t xml:space="preserve">1800</t>
  </si>
  <si>
    <t xml:space="preserve">VAYEHI</t>
  </si>
  <si>
    <t xml:space="preserve">/vayehi.html</t>
  </si>
  <si>
    <t xml:space="preserve">VAYHI: LA REDEMPTION A TRAVERS LES ENGENDREMENTS</t>
  </si>
  <si>
    <t xml:space="preserve">Exode</t>
  </si>
  <si>
    <t xml:space="preserve">CHEMOT</t>
  </si>
  <si>
    <t xml:space="preserve">/chemot.html</t>
  </si>
  <si>
    <t xml:space="preserve">CHEMOT: L'EXIL ET LE NOM</t>
  </si>
  <si>
    <t xml:space="preserve">4800</t>
  </si>
  <si>
    <t xml:space="preserve">VAERA</t>
  </si>
  <si>
    <t xml:space="preserve">/vaera.html</t>
  </si>
  <si>
    <t xml:space="preserve">VAERA: D.IEU CREATEUR ET D.IEU REDEMPTEUR</t>
  </si>
  <si>
    <t xml:space="preserve">BO</t>
  </si>
  <si>
    <t xml:space="preserve">/bo.html</t>
  </si>
  <si>
    <t xml:space="preserve">BO: LES DIMENSIONS CELESTES DES DIX PLAIES</t>
  </si>
  <si>
    <t xml:space="preserve">BECHALLAH</t>
  </si>
  <si>
    <t xml:space="preserve">/bechallah.html</t>
  </si>
  <si>
    <t xml:space="preserve">BECHALLAH OU LA DECHIRURE DU TEMPS</t>
  </si>
  <si>
    <t xml:space="preserve">YITRO</t>
  </si>
  <si>
    <t xml:space="preserve">/yitro.html</t>
  </si>
  <si>
    <t xml:space="preserve">YITRO: LE DON DE LA TORAH OU LE PRINCIPE GENITEUR DU MONDE</t>
  </si>
  <si>
    <t xml:space="preserve">2500</t>
  </si>
  <si>
    <t xml:space="preserve">MICHPATIM</t>
  </si>
  <si>
    <t xml:space="preserve">/michpatim.html</t>
  </si>
  <si>
    <t xml:space="preserve">MICHPATIM: LE SECRET DE LA REINCARNATION DES AMES + second essay on one page</t>
  </si>
  <si>
    <t xml:space="preserve">4500-5000</t>
  </si>
  <si>
    <t xml:space="preserve">TEROUMA-TETSAVE</t>
  </si>
  <si>
    <t xml:space="preserve">/terouma-tetsave.html</t>
  </si>
  <si>
    <t xml:space="preserve">TEROUMA-TETSAVE: LE TEMPLE DE D.IEU, OU LA SANCTIFICATION DE L'ESPACE DU MONDE</t>
  </si>
  <si>
    <t xml:space="preserve">KI TISSA</t>
  </si>
  <si>
    <t xml:space="preserve">/ki-tissa.html</t>
  </si>
  <si>
    <t xml:space="preserve">KI TISSA: LE VEAU D'OR, OU LA RECHERCHE DE LA TRANSCENDANCE DANS L'IMMANENCE</t>
  </si>
  <si>
    <t xml:space="preserve">1500-1600</t>
  </si>
  <si>
    <t xml:space="preserve">VAYAKHEL-PEKOUDE</t>
  </si>
  <si>
    <t xml:space="preserve">/vayakhel-pekoude.html</t>
  </si>
  <si>
    <t xml:space="preserve">Lévitique</t>
  </si>
  <si>
    <t xml:space="preserve">VAYIKRA</t>
  </si>
  <si>
    <t xml:space="preserve">/vayikra.html</t>
  </si>
  <si>
    <t xml:space="preserve">VAYIKRA: LA SIGNIFICATION METAPHYSIQUE DU QORBAN</t>
  </si>
  <si>
    <t xml:space="preserve">1200-1300</t>
  </si>
  <si>
    <t xml:space="preserve">TSAV</t>
  </si>
  <si>
    <t xml:space="preserve">/tsav.html</t>
  </si>
  <si>
    <t xml:space="preserve">TSAV-CHABBAT HAGADOL: LE PASSAGE DE LA TEMPORALITE A L'ETERNITE</t>
  </si>
  <si>
    <t xml:space="preserve">1900</t>
  </si>
  <si>
    <t xml:space="preserve">CHEMINI</t>
  </si>
  <si>
    <t xml:space="preserve">/chemini.html</t>
  </si>
  <si>
    <t xml:space="preserve">CHEMINI: NADAV ET AVIHOU OU LE SECRET DE LA KETORET</t>
  </si>
  <si>
    <t xml:space="preserve">2000</t>
  </si>
  <si>
    <t xml:space="preserve">TAZRIA-METSORA</t>
  </si>
  <si>
    <t xml:space="preserve">/tazria-metsora.html</t>
  </si>
  <si>
    <t xml:space="preserve">TAZRIA-METZORA, OU LE DESIR DE D.IEU AU FEMININ</t>
  </si>
  <si>
    <t xml:space="preserve">AHAREI MOT-KADOCHIM</t>
  </si>
  <si>
    <t xml:space="preserve">/aharei-mot-kadochim.html</t>
  </si>
  <si>
    <t xml:space="preserve">AHAREI MOT-KEDOCHIM, OU COMMENT REUNIR EN SEPARANT</t>
  </si>
  <si>
    <t xml:space="preserve">2200</t>
  </si>
  <si>
    <t xml:space="preserve">EMOR</t>
  </si>
  <si>
    <t xml:space="preserve">/emor.html</t>
  </si>
  <si>
    <t xml:space="preserve">1050</t>
  </si>
  <si>
    <t xml:space="preserve">BEHAR</t>
  </si>
  <si>
    <t xml:space="preserve">/behar.html</t>
  </si>
  <si>
    <t xml:space="preserve">BEHAR: LE QUAND ET LE COMMENT DE LA REDEMPTION</t>
  </si>
  <si>
    <t xml:space="preserve">1200</t>
  </si>
  <si>
    <t xml:space="preserve">Nombres</t>
  </si>
  <si>
    <t xml:space="preserve">BAMIDBAR</t>
  </si>
  <si>
    <t xml:space="preserve">/bamidbar.html</t>
  </si>
  <si>
    <t xml:space="preserve">BAMIDBAR OU L'HUMILITE COMME CONDITION DU DON DE LA TORAH</t>
  </si>
  <si>
    <t xml:space="preserve">NASSO</t>
  </si>
  <si>
    <t xml:space="preserve">/nasso.html</t>
  </si>
  <si>
    <t xml:space="preserve">NASSO: DELIVRANCE INDIVIDUELLE ET DELIVRANCE COLLECTIVE</t>
  </si>
  <si>
    <t xml:space="preserve">BEHAHALOTEKHA-CHELAKH</t>
  </si>
  <si>
    <t xml:space="preserve">/behahalotekha-chelakh-lekha.html</t>
  </si>
  <si>
    <t xml:space="preserve">QORAH</t>
  </si>
  <si>
    <t xml:space="preserve">/qorah.html</t>
  </si>
  <si>
    <t xml:space="preserve">QORAH OU L'OCCULTATION DU TEMPS DE L'HISTOIRE HUMAINE</t>
  </si>
  <si>
    <t xml:space="preserve">1800-2000</t>
  </si>
  <si>
    <t xml:space="preserve">HOUKAT</t>
  </si>
  <si>
    <t xml:space="preserve">/houkat.html</t>
  </si>
  <si>
    <t xml:space="preserve">BALAQ</t>
  </si>
  <si>
    <t xml:space="preserve">/balaq.html</t>
  </si>
  <si>
    <t xml:space="preserve">BILAAM, LA REVELATION MESSIANIQUE ET ISHMAEL</t>
  </si>
  <si>
    <t xml:space="preserve">PINHAS</t>
  </si>
  <si>
    <t xml:space="preserve">/pinhas.html</t>
  </si>
  <si>
    <t xml:space="preserve">PINHAS: LE 17 TAMOUZ OU L'ETERNITE DE L'HOMME</t>
  </si>
  <si>
    <t xml:space="preserve">MATOT-MASSE</t>
  </si>
  <si>
    <t xml:space="preserve">/matot-masse.html</t>
  </si>
  <si>
    <t xml:space="preserve">MATOT-MASS'E: LES 42 ETAPES DU DESERT OU LE CHEMINEMENT VERS LA REDEMPTION</t>
  </si>
  <si>
    <t xml:space="preserve">Deutéronome</t>
  </si>
  <si>
    <t xml:space="preserve">DEVARIM</t>
  </si>
  <si>
    <t xml:space="preserve">/devarim.html</t>
  </si>
  <si>
    <t xml:space="preserve">VAETHANAN</t>
  </si>
  <si>
    <t xml:space="preserve">/vaethanan.html</t>
  </si>
  <si>
    <t xml:space="preserve">EKEV</t>
  </si>
  <si>
    <t xml:space="preserve">/ekev.html</t>
  </si>
  <si>
    <t xml:space="preserve">REEH</t>
  </si>
  <si>
    <t xml:space="preserve">/reeh.html</t>
  </si>
  <si>
    <t xml:space="preserve">CHOFTIM</t>
  </si>
  <si>
    <t xml:space="preserve">/choftim.html</t>
  </si>
  <si>
    <t xml:space="preserve">KI TETSE</t>
  </si>
  <si>
    <t xml:space="preserve">/ki-tetse.html</t>
  </si>
  <si>
    <t xml:space="preserve">KI TAVO</t>
  </si>
  <si>
    <t xml:space="preserve">/ki-tavo.html</t>
  </si>
  <si>
    <t xml:space="preserve">NITSAVIM</t>
  </si>
  <si>
    <t xml:space="preserve">/nitsavim.html</t>
  </si>
  <si>
    <t xml:space="preserve">Media assets — the institute's real crown jewels</t>
  </si>
  <si>
    <t xml:space="preserve">YouTube figures are from Social Blade (7 Sep 2026), NOT the YouTube API — re-confirm before quoting. Facebook/Twitter counts could not be verified at all.</t>
  </si>
  <si>
    <t xml:space="preserve">Asset</t>
  </si>
  <si>
    <t xml:space="preserve">Location / ID</t>
  </si>
  <si>
    <t xml:space="preserve">Scale</t>
  </si>
  <si>
    <t xml:space="preserve">Confidence</t>
  </si>
  <si>
    <t xml:space="preserve">YouTube channel</t>
  </si>
  <si>
    <t xml:space="preserve">@ramhalInstit (UCDIGQLzR9CylDHD00XU9LRw)</t>
  </si>
  <si>
    <t xml:space="preserve">~1,897 videos</t>
  </si>
  <si>
    <t xml:space="preserve">Social Blade</t>
  </si>
  <si>
    <t xml:space="preserve">Channel open since 25 Nov 2009. ~3,940 subscribers, ~732,046 total views → ~385 views/video. Deep archive, small devoted audience.</t>
  </si>
  <si>
    <t xml:space="preserve">YouTube cadence</t>
  </si>
  <si>
    <t xml:space="preserve">~13 uploads / 14 days</t>
  </si>
  <si>
    <t xml:space="preserve">ACTIVELY uploading in Sept 2026 at near-daily cadence. This is the live channel.</t>
  </si>
  <si>
    <t xml:space="preserve">YouTube languages</t>
  </si>
  <si>
    <t xml:space="preserve">Hebrew + French</t>
  </si>
  <si>
    <t xml:space="preserve">Verified</t>
  </si>
  <si>
    <t xml:space="preserve">Hebrew dominant; a real French stream exists on the SAME channel with no language tagging. NO English video content found.</t>
  </si>
  <si>
    <t xml:space="preserve">Playlist — דרך השם</t>
  </si>
  <si>
    <t xml:space="preserve">PLI4WtgHMTlAcMcyA61GyLY50OcIWCWyKt</t>
  </si>
  <si>
    <t xml:space="preserve">114 videos</t>
  </si>
  <si>
    <t xml:space="preserve">Playlist — מאמר העיקרים</t>
  </si>
  <si>
    <t xml:space="preserve">PLI4WtgHMTlAdUkFqCyiOhoDdG5iWZOBPd</t>
  </si>
  <si>
    <t xml:space="preserve">7 videos</t>
  </si>
  <si>
    <t xml:space="preserve">Playlist — תיקונים חדשים</t>
  </si>
  <si>
    <t xml:space="preserve">PLI4WtgHMTlAe-YrTemz4s9vpafXi3FFv2</t>
  </si>
  <si>
    <t xml:space="preserve">Verified (embed)</t>
  </si>
  <si>
    <t xml:space="preserve">Embedded on the Hebrew homepage</t>
  </si>
  <si>
    <t xml:space="preserve">Playlist — דעת תבונות</t>
  </si>
  <si>
    <t xml:space="preserve">PLI4WtgHMTlAfkJTDMLytz2F8ZjesjKrHj</t>
  </si>
  <si>
    <t xml:space="preserve">Playlist — קל"ח פתחי חכמה</t>
  </si>
  <si>
    <t xml:space="preserve">PLI4WtgHMTlAc0TX_0fy57GeHHatGFz_8t</t>
  </si>
  <si>
    <t xml:space="preserve">Playlist — מאמר הגאולה</t>
  </si>
  <si>
    <t xml:space="preserve">PLI4WtgHMTlAew05nFHBHdJ0jDD6p_P5rB</t>
  </si>
  <si>
    <t xml:space="preserve">Playlist — כללים ראשונים</t>
  </si>
  <si>
    <t xml:space="preserve">PLI4WtgHMTlAdvOlD1zs6R3XD0v4UV5et3</t>
  </si>
  <si>
    <t xml:space="preserve">Playlist — קנאת ה' צבאות</t>
  </si>
  <si>
    <t xml:space="preserve">PLI4WtgHMTlAd64raVoXQS5F4G9j0f3YR_</t>
  </si>
  <si>
    <t xml:space="preserve">Series — אדיר במרום</t>
  </si>
  <si>
    <t xml:space="preserve">(on YouTube AND as MP3)</t>
  </si>
  <si>
    <t xml:space="preserve">200+ parts</t>
  </si>
  <si>
    <t xml:space="preserve">Inferred</t>
  </si>
  <si>
    <t xml:space="preserve">One video found is shiur 210 — this single series runs 200+. Split across YouTube and a third-party MP3 host.</t>
  </si>
  <si>
    <t xml:space="preserve">MP3 archive — אדיר במרום</t>
  </si>
  <si>
    <t xml:space="preserve">zohar-israel.com/adir.asp</t>
  </si>
  <si>
    <t xml:space="preserve">259 lessons</t>
  </si>
  <si>
    <t xml:space="preserve">On a SEPARATE affiliated site, in 5 folders. A major audio archive the main website does not surface.</t>
  </si>
  <si>
    <t xml:space="preserve">MP3 — Hebrew + French dirs</t>
  </si>
  <si>
    <t xml:space="preserve">server5.mp100.info/ramchal/...</t>
  </si>
  <si>
    <t xml:space="preserve">unknown</t>
  </si>
  <si>
    <t xml:space="preserve">Blocked (403)</t>
  </si>
  <si>
    <t xml:space="preserve">Third-party directory browser linked from /mp3.html. Listening on-site only, no download. Could not enumerate.</t>
  </si>
  <si>
    <t xml:space="preserve">Embeds — HE parsha videos</t>
  </si>
  <si>
    <t xml:space="preserve">17 individual videos</t>
  </si>
  <si>
    <t xml:space="preserve">פרשת השבוע ואקטואליה באספקלריית הרמח"ל — hardcoded embeds, no titles in markup</t>
  </si>
  <si>
    <t xml:space="preserve">Embeds — FR parsha</t>
  </si>
  <si>
    <t xml:space="preserve">frramhal.com/LA-PARASHA-SELON-LA-KABBALE.html</t>
  </si>
  <si>
    <t xml:space="preserve">42 videos</t>
  </si>
  <si>
    <t xml:space="preserve">Hardcoded embed IDs, no titles or captions on the page</t>
  </si>
  <si>
    <t xml:space="preserve">Embeds — FR intro kabbale</t>
  </si>
  <si>
    <t xml:space="preserve">frramhal.com/Vidéos-INTRODUCTION-A-LA-KABBALE.html</t>
  </si>
  <si>
    <t xml:space="preserve">12 videos</t>
  </si>
  <si>
    <t xml:space="preserve">Embeds — FR Tikoun Olam</t>
  </si>
  <si>
    <t xml:space="preserve">frramhal.com/Tikun-Olam-1.html</t>
  </si>
  <si>
    <t xml:space="preserve">5 videos</t>
  </si>
  <si>
    <t xml:space="preserve">Embeds — FR Hanouka</t>
  </si>
  <si>
    <t xml:space="preserve">frramhal.com/HANOUKA-1.html</t>
  </si>
  <si>
    <t xml:space="preserve">3 videos</t>
  </si>
  <si>
    <t xml:space="preserve">Torah-Box (FR)</t>
  </si>
  <si>
    <t xml:space="preserve">torah-box.com/auteurs/rav-mordekhai-chriqui_74.html</t>
  </si>
  <si>
    <t xml:space="preserve">~18 items</t>
  </si>
  <si>
    <t xml:space="preserve">~16 French video/audio lectures, 45–110 min. Highest-traffic French inbound link.</t>
  </si>
  <si>
    <t xml:space="preserve">Akadem (FR)</t>
  </si>
  <si>
    <t xml:space="preserve">akadem.org/author/mordekhai-chriqui</t>
  </si>
  <si>
    <t xml:space="preserve">unquantified</t>
  </si>
  <si>
    <t xml:space="preserve">Partial</t>
  </si>
  <si>
    <t xml:space="preserve">Profile 'last updated March 2009'. At least one full course (27/01/2011). Item list would not render.</t>
  </si>
  <si>
    <t xml:space="preserve">Beit Ha Zohar (FR)</t>
  </si>
  <si>
    <t xml:space="preserve">beithazohar.com/en/speaker/rav-chriqui/</t>
  </si>
  <si>
    <t xml:space="preserve">1+ video</t>
  </si>
  <si>
    <t xml:space="preserve">Links out to YouTube rather than self-hosting</t>
  </si>
  <si>
    <t xml:space="preserve">Facebook — main</t>
  </si>
  <si>
    <t xml:space="preserve">facebook.com/RamhalInstitute</t>
  </si>
  <si>
    <t xml:space="preserve">UNVERIFIED</t>
  </si>
  <si>
    <t xml:space="preserve">Blocked</t>
  </si>
  <si>
    <t xml:space="preserve">Page exists (name 'מכון רמח"ל institut ramhal', Jerusalem). Follower count and last-post date NOT obtainable — do not quote a number.</t>
  </si>
  <si>
    <t xml:space="preserve">Facebook — second</t>
  </si>
  <si>
    <t xml:space="preserve">facebook.com/daattvunot</t>
  </si>
  <si>
    <t xml:space="preserve">Linked from all three sites; existence not independently confirmed</t>
  </si>
  <si>
    <t xml:space="preserve">Twitter / X</t>
  </si>
  <si>
    <t xml:space="preserve">twitter.com/RamhalInstitute</t>
  </si>
  <si>
    <t xml:space="preserve">Linked from all three sites; account state unknown</t>
  </si>
  <si>
    <t xml:space="preserve">Google+</t>
  </si>
  <si>
    <t xml:space="preserve">plus.google.com/100772982649461648084</t>
  </si>
  <si>
    <t xml:space="preserve">DEAD</t>
  </si>
  <si>
    <t xml:space="preserve">Platform shut down 2019. Link still live on every page of all three sites.</t>
  </si>
  <si>
    <t xml:space="preserve">Podcast (Spotify/Apple/RSS)</t>
  </si>
  <si>
    <t xml:space="preserve">NONE FOUND</t>
  </si>
  <si>
    <t xml:space="preserve">Searched</t>
  </si>
  <si>
    <t xml:space="preserve">~1,900 videos + 259 MP3s and zero podcast distribution. The cheapest large win available.</t>
  </si>
  <si>
    <t xml:space="preserve">Instagram / TikTok</t>
  </si>
  <si>
    <t xml:space="preserve">Migration risks &amp; technical hazards</t>
  </si>
  <si>
    <t xml:space="preserve">Severity</t>
  </si>
  <si>
    <t xml:space="preserve">Risk</t>
  </si>
  <si>
    <t xml:space="preserve">What was observed</t>
  </si>
  <si>
    <t xml:space="preserve">What to do about it</t>
  </si>
  <si>
    <t xml:space="preserve">CRITICAL</t>
  </si>
  <si>
    <t xml:space="preserve">No export path</t>
  </si>
  <si>
    <t xml:space="preserve">Classic-ASP proprietary builder (Element Israel / Showenter). No database dump, no export, no plugin ecosystem. Everything must be scraped.</t>
  </si>
  <si>
    <t xml:space="preserve">Scrape via the ASP endpoints, not the rendered .html — harvest detail_id values and pull structured records.</t>
  </si>
  <si>
    <t xml:space="preserve">'%2D' hyphen encoding</t>
  </si>
  <si>
    <t xml:space="preserve">Hebrew slugs percent-encode the hyphen separator as %2D, not a literal '-'. A normaliser that decodes %2D → '-' produces URLs that 404.</t>
  </si>
  <si>
    <t xml:space="preserve">Preserve %2D byte-for-byte in the crawler. Test on ramhal.com before a full run.</t>
  </si>
  <si>
    <t xml:space="preserve">HIGH</t>
  </si>
  <si>
    <t xml:space="preserve">sitemap.xml returns HTTP 500 on all three sites</t>
  </si>
  <si>
    <t xml:space="preserve">The real sitemap is /sitemap.asp?depart_id=367044 — 132 URLs (HE), 135 (FR), 70 (EN).</t>
  </si>
  <si>
    <t xml:space="preserve">Use the .asp sitemap as the crawl seed; re-pull it raw rather than through a summariser.</t>
  </si>
  <si>
    <t xml:space="preserve">Crawl-delay: 5 + aggressive throttling</t>
  </si>
  <si>
    <t xml:space="preserve">robots.txt declares Crawl-delay 5 on all three. The French host returned HTTP 429 at ~5 concurrent requests.</t>
  </si>
  <si>
    <t xml:space="preserve">Serial crawl at 1 req/5s. Budget ~12 min per site, ~40 min total. Do not parallelise.</t>
  </si>
  <si>
    <t xml:space="preserve">Slugs do not match content</t>
  </si>
  <si>
    <t xml:space="preserve">Noa'h lives at /NOUVEAU.html · the Kippour essay at /Hanouka.html · the boutique at /Botiquw-en-ligne.html (typo) · /Institute-Ramhal.html and /Beit-Ramhal.html have SWAPPED titles.</t>
  </si>
  <si>
    <t xml:space="preserve">Budget for a hand-built URL→title map. Do not trust slugs to infer content.</t>
  </si>
  <si>
    <t xml:space="preserve">Article/video slug collisions</t>
  </si>
  <si>
    <t xml:space="preserve">On the Hebrew site the text article is /סוכות.html and the VIDEO page is /סוכות-1.html. Same for חנוכה, פורים, פסח, ט"ו בשבט (where the -1 is reversed).</t>
  </si>
  <si>
    <t xml:space="preserve">Check each -1 pair by hand. Easy to silently mis-map.</t>
  </si>
  <si>
    <t xml:space="preserve">MEDIUM</t>
  </si>
  <si>
    <t xml:space="preserve">Three catalogues have drifted</t>
  </si>
  <si>
    <t xml:space="preserve">The HE store has whole product lines absent from the other two (דברות series, זוהר השלם, מחזור כיפור, סט ספרי הגאולה...). The EN store is frozen at 2017 pricing.</t>
  </si>
  <si>
    <t xml:space="preserve">Treat the HEBREW catalogue as the source of truth. Reconcile the other two into it, then price per currency.</t>
  </si>
  <si>
    <t xml:space="preserve">Orphaned products</t>
  </si>
  <si>
    <t xml:space="preserve">~11 Hebrew product pages on the FR site and 6 on the EN site exist in the sitemap but are absent from the paginated grids. The FR CD/DVD category has NO reachable page at all.</t>
  </si>
  <si>
    <t xml:space="preserve">Crawl from the sitemap, not from the navigation, or you will miss stock.</t>
  </si>
  <si>
    <t xml:space="preserve">Staging-domain leak</t>
  </si>
  <si>
    <t xml:space="preserve">6 items in the Hebrew site's 'עוד' menu still point at ohadc.me.showenter.com — the builder's staging host.</t>
  </si>
  <si>
    <t xml:space="preserve">Must be rewritten. Also a small information leak worth mentioning to the client.</t>
  </si>
  <si>
    <t xml:space="preserve">No dates or authors anywhere</t>
  </si>
  <si>
    <t xml:space="preserve">Article markup carries no publication date and no byline (one exception: 11/10/2015 on the FR fêtes index).</t>
  </si>
  <si>
    <t xml:space="preserve">Chronological ordering must be reconstructed by hand, or abandoned in favour of topical organisation.</t>
  </si>
  <si>
    <t xml:space="preserve">Flat shipping wildly inconsistent</t>
  </si>
  <si>
    <t xml:space="preserve">₪30 (HE, free self-pickup) · €50 (FR) · $86 (EN). Delivery quoted at 20–22 business days.</t>
  </si>
  <si>
    <t xml:space="preserve">A real decision, not a migration detail. €50/$86 flat is almost certainly suppressing international sales.</t>
  </si>
  <si>
    <t xml:space="preserve">LOW</t>
  </si>
  <si>
    <t xml:space="preserve">Dead Google+ links</t>
  </si>
  <si>
    <t xml:space="preserve">On every page of all three sites. Platform dead since 2019.</t>
  </si>
  <si>
    <t xml:space="preserve">Remove.</t>
  </si>
  <si>
    <t xml:space="preserve">Legacy Yalla storefront</t>
  </si>
  <si>
    <t xml:space="preserve">ramhal.yalla.co.il/store/146931 — still search-indexed, BROKEN SSL certificate, different store ID.</t>
  </si>
  <si>
    <t xml:space="preserve">Decommission or 301-redirect. Credibility win.</t>
  </si>
  <si>
    <t xml:space="preserve">Stub pages</t>
  </si>
  <si>
    <t xml:space="preserve">7 pages on the Hebrew site render the homepage template with only the &lt;title&gt; differing (incl. one literally named 'גיבוי' = backup, and /test.html).</t>
  </si>
  <si>
    <t xml:space="preserve">Drop them. Do not migrate.</t>
  </si>
  <si>
    <t xml:space="preserve">Inconsistent contact details</t>
  </si>
  <si>
    <t xml:space="preserve">ramhalcom@gmail.com (HE) vs ramhal1@bezeqint.net (FR/EN). Phone/fax differ per site.</t>
  </si>
  <si>
    <t xml:space="preserve">Settle on one set with the client.</t>
  </si>
  <si>
    <t xml:space="preserve">INFO</t>
  </si>
  <si>
    <t xml:space="preserve">Founding date conflicts</t>
  </si>
  <si>
    <t xml:space="preserve">1985 (HE/FR sites) · 1986 (kabbale-ramhal-france) · 1990 (Blue Fringes). Book count: '25+' vs '~30' vs 'over thirty' vs 'about twenty'.</t>
  </si>
  <si>
    <t xml:space="preserve">All self-reported and inconsistent. Settle with the client before writing any new About page.</t>
  </si>
  <si>
    <t xml:space="preserve">Priority</t>
  </si>
  <si>
    <t xml:space="preserve">Question</t>
  </si>
  <si>
    <t xml:space="preserve">Why it matters</t>
  </si>
  <si>
    <t xml:space="preserve">BLOCKING</t>
  </si>
  <si>
    <t xml:space="preserve">How do orders actually reach the institute today — a dashboard, or just PayPal emails?</t>
  </si>
  <si>
    <t xml:space="preserve">Decides the whole architecture. PayPal-notification-only → a git-based CMS + static site + PayPal buttons, no database, no server, free hosting. Real order management → a database-backed CMS such as Payload.</t>
  </si>
  <si>
    <t xml:space="preserve">Is there a visual identity to work from — logo, colours, the design of the printed books?</t>
  </si>
  <si>
    <t xml:space="preserve">A fresh start needs a starting point. Institute book design is usually the best source, and matters doubly here because Hebrew, French and English must share one type system.</t>
  </si>
  <si>
    <t xml:space="preserve">Who at the institute will actually edit the site, and what is their comfort with technology?</t>
  </si>
  <si>
    <t xml:space="preserve">'Staff, no code' was the answer, but a git-based CMS needs a GitHub account per editor. That may or may not be acceptable for the Rabbi's assistant.</t>
  </si>
  <si>
    <t xml:space="preserve">Should English be built properly, or dropped?</t>
  </si>
  <si>
    <t xml:space="preserve">Today enramhal.com serves English speakers nothing, yet the institute HAS English books it cannot sell there. Either commit to translation or fold English into a minimal shop-only presence.</t>
  </si>
  <si>
    <t xml:space="preserve">Who wrote the 35 French parsha essays, and is that person still writing?</t>
  </si>
  <si>
    <t xml:space="preserve">~90,000 words of real scholarship. If the author is active, the Devarim gap (8 empty pages) can be closed. If not, the archive is finite and should be presented as a complete work.</t>
  </si>
  <si>
    <t xml:space="preserve">What is the actual sales volume through the site?</t>
  </si>
  <si>
    <t xml:space="preserve">Determines whether the store is a serious revenue line or a convenience. Nothing else about the store can be sized without it.</t>
  </si>
  <si>
    <t xml:space="preserve">Who controls the YouTube channel, and would they accept a podcast feed?</t>
  </si>
  <si>
    <t xml:space="preserve">~1,900 videos and no audio distribution. Near-free reach, but needs channel access.</t>
  </si>
  <si>
    <t xml:space="preserve">Is zohar-israel.com's 259-lesson MP3 archive ours to absorb?</t>
  </si>
  <si>
    <t xml:space="preserve">A major audio asset sitting on an affiliated but separate property.</t>
  </si>
  <si>
    <t xml:space="preserve">Do the three flat shipping rates reflect real costs?</t>
  </si>
  <si>
    <t xml:space="preserve">₪30 vs €50 vs $86. If not real, international sales are being suppressed by a guess.</t>
  </si>
  <si>
    <t xml:space="preserve">Should the FR and EN domains be kept, redirected, or retired?</t>
  </si>
  <si>
    <t xml:space="preserve">They carry whatever SEO history exists. Retiring them without redirects throws that away.</t>
  </si>
  <si>
    <t xml:space="preserve">Which founding year and book count are correct?</t>
  </si>
  <si>
    <t xml:space="preserve">1985 / 1986 / 1990 and 20 / 25 / 30 books are all in circulation on the institute's own properties.</t>
  </si>
  <si>
    <t xml:space="preserve">Is the daattvunot Facebook page live or abandoned?</t>
  </si>
  <si>
    <t xml:space="preserve">Linked from all three sites; could not be verified from here. A five-minute check for someone logged in.</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</si>
</sst>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5"/>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6" t="n">
        <f aca="false">COUNTIFS(Products!A:A,"HE")</f>
        <v>64</v>
      </c>
    </row>
    <row r="7" customFormat="false" ht="15" hidden="false" customHeight="true" outlineLevel="0" collapsed="false">
      <c r="A7" s="5" t="s">
        <v>5</v>
      </c>
      <c r="B7" s="6" t="n">
        <f aca="false">COUNTIFS(Products!A:A,"FR")</f>
        <v>49</v>
      </c>
    </row>
    <row r="8" customFormat="false" ht="15" hidden="false" customHeight="true" outlineLevel="0" collapsed="false">
      <c r="A8" s="5" t="s">
        <v>6</v>
      </c>
      <c r="B8" s="6" t="n">
        <f aca="false">COUNTIFS(Products!A:A,"EN")</f>
        <v>51</v>
      </c>
    </row>
    <row r="9" customFormat="false" ht="15" hidden="false" customHeight="true" outlineLevel="0" collapsed="false">
      <c r="A9" s="5" t="s">
        <v>7</v>
      </c>
      <c r="B9" s="6" t="n">
        <f aca="false">COUNTA(Products!B:B)-1</f>
        <v>164</v>
      </c>
    </row>
    <row r="10" customFormat="false" ht="15" hidden="false" customHeight="true" outlineLevel="0" collapsed="false">
      <c r="A10" s="5" t="s">
        <v>8</v>
      </c>
      <c r="B10" s="6" t="n">
        <f aca="false">COUNTIFS(Parsha_FR!D:D,"Essay")</f>
        <v>35</v>
      </c>
    </row>
    <row r="11" customFormat="false" ht="15" hidden="false" customHeight="true" outlineLevel="0" collapsed="false">
      <c r="A11" s="5" t="s">
        <v>9</v>
      </c>
      <c r="B11" s="6" t="n">
        <f aca="false">COUNTIFS(Parsha_FR!D:D,"EMPTY")</f>
        <v>9</v>
      </c>
    </row>
    <row r="12" customFormat="false" ht="15" hidden="false" customHeight="true" outlineLevel="0" collapsed="false">
      <c r="A12" s="5" t="s">
        <v>10</v>
      </c>
      <c r="B12" s="6" t="n">
        <f aca="false">COUNTA(Content_Pages!B:B)-1</f>
        <v>49</v>
      </c>
    </row>
    <row r="13" customFormat="false" ht="15" hidden="false" customHeight="true" outlineLevel="0" collapsed="false">
      <c r="A13" s="5" t="s">
        <v>11</v>
      </c>
      <c r="B13" s="6" t="n">
        <f aca="false">COUNTA(Migration_Risks!B:B)-1</f>
        <v>16</v>
      </c>
    </row>
    <row r="14" customFormat="false" ht="15" hidden="false" customHeight="true" outlineLevel="0" collapsed="false">
      <c r="A14" s="5" t="s">
        <v>12</v>
      </c>
      <c r="B14" s="6" t="n">
        <f aca="false">COUNTA(Open_Questions!B:B)-1</f>
        <v>12</v>
      </c>
    </row>
    <row r="16" customFormat="false" ht="15" hidden="false" customHeight="true" outlineLevel="0" collapsed="false">
      <c r="A16" s="4" t="s">
        <v>13</v>
      </c>
    </row>
    <row r="17" customFormat="false" ht="45.75" hidden="false" customHeight="true" outlineLevel="0" collapsed="false">
      <c r="A17" s="7" t="s">
        <v>14</v>
      </c>
      <c r="B17" s="8" t="s">
        <v>15</v>
      </c>
    </row>
    <row r="18" customFormat="false" ht="45.75" hidden="false" customHeight="true" outlineLevel="0" collapsed="false">
      <c r="A18" s="7" t="s">
        <v>16</v>
      </c>
      <c r="B18" s="8" t="s">
        <v>17</v>
      </c>
    </row>
    <row r="19" customFormat="false" ht="45.75" hidden="false" customHeight="true" outlineLevel="0" collapsed="false">
      <c r="A19" s="7" t="s">
        <v>18</v>
      </c>
      <c r="B19" s="8" t="s">
        <v>19</v>
      </c>
    </row>
    <row r="20" customFormat="false" ht="45.75" hidden="false" customHeight="true" outlineLevel="0" collapsed="false">
      <c r="A20" s="7" t="s">
        <v>20</v>
      </c>
      <c r="B20" s="8" t="s">
        <v>21</v>
      </c>
    </row>
    <row r="21" customFormat="false" ht="45.75" hidden="false" customHeight="true" outlineLevel="0" collapsed="false">
      <c r="A21" s="7" t="s">
        <v>22</v>
      </c>
      <c r="B21" s="8" t="s">
        <v>23</v>
      </c>
    </row>
    <row r="22" customFormat="false" ht="45.75" hidden="false" customHeight="true" outlineLevel="0" collapsed="false">
      <c r="A22" s="7" t="s">
        <v>24</v>
      </c>
      <c r="B22" s="8" t="s">
        <v>25</v>
      </c>
    </row>
    <row r="23" customFormat="false" ht="45.75" hidden="false" customHeight="true" outlineLevel="0" collapsed="false">
      <c r="A23" s="7" t="s">
        <v>26</v>
      </c>
      <c r="B23" s="8" t="s">
        <v>27</v>
      </c>
    </row>
    <row r="24" customFormat="false" ht="45.75" hidden="false" customHeight="true" outlineLevel="0" collapsed="false">
      <c r="A24" s="7" t="s">
        <v>28</v>
      </c>
      <c r="B24" s="8"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4"/>
    <col collapsed="false" customWidth="true" hidden="false" outlineLevel="0" max="4" min="4" style="1" width="26"/>
    <col collapsed="false" customWidth="true" hidden="false" outlineLevel="0" max="5" min="5" style="1" width="10"/>
    <col collapsed="false" customWidth="true" hidden="false" outlineLevel="0" max="6" min="6" style="1" width="11"/>
    <col collapsed="false" customWidth="true" hidden="false" outlineLevel="0" max="7" min="7" style="1" width="72"/>
  </cols>
  <sheetData>
    <row r="1" customFormat="false" ht="17.25" hidden="false" customHeight="true" outlineLevel="0" collapsed="false">
      <c r="A1" s="2" t="s">
        <v>30</v>
      </c>
    </row>
    <row r="3" customFormat="false" ht="27.75" hidden="false" customHeight="true" outlineLevel="0" collapsed="false">
      <c r="A3" s="9" t="s">
        <v>31</v>
      </c>
      <c r="B3" s="9" t="s">
        <v>32</v>
      </c>
      <c r="C3" s="9" t="s">
        <v>33</v>
      </c>
      <c r="D3" s="9" t="s">
        <v>34</v>
      </c>
      <c r="E3" s="9" t="s">
        <v>35</v>
      </c>
      <c r="F3" s="9" t="s">
        <v>36</v>
      </c>
      <c r="G3" s="9" t="s">
        <v>37</v>
      </c>
    </row>
    <row r="4" customFormat="false" ht="23.25" hidden="false" customHeight="true" outlineLevel="0" collapsed="false">
      <c r="A4" s="10" t="s">
        <v>38</v>
      </c>
      <c r="B4" s="10" t="s">
        <v>39</v>
      </c>
      <c r="C4" s="10" t="s">
        <v>40</v>
      </c>
      <c r="D4" s="10" t="s">
        <v>41</v>
      </c>
      <c r="E4" s="10" t="s">
        <v>42</v>
      </c>
      <c r="F4" s="10" t="s">
        <v>43</v>
      </c>
      <c r="G4" s="10" t="s">
        <v>44</v>
      </c>
    </row>
    <row r="5" customFormat="false" ht="23.25" hidden="false" customHeight="true" outlineLevel="0" collapsed="false">
      <c r="A5" s="11" t="s">
        <v>45</v>
      </c>
      <c r="B5" s="11" t="s">
        <v>46</v>
      </c>
      <c r="C5" s="11" t="s">
        <v>47</v>
      </c>
      <c r="D5" s="11" t="s">
        <v>48</v>
      </c>
      <c r="E5" s="11" t="s">
        <v>49</v>
      </c>
      <c r="F5" s="11" t="s">
        <v>50</v>
      </c>
      <c r="G5" s="11" t="s">
        <v>51</v>
      </c>
    </row>
    <row r="6" customFormat="false" ht="23.25" hidden="false" customHeight="true" outlineLevel="0" collapsed="false">
      <c r="A6" s="10" t="s">
        <v>52</v>
      </c>
      <c r="B6" s="10" t="s">
        <v>53</v>
      </c>
      <c r="C6" s="10" t="s">
        <v>54</v>
      </c>
      <c r="D6" s="10" t="s">
        <v>55</v>
      </c>
      <c r="E6" s="10" t="s">
        <v>56</v>
      </c>
      <c r="F6" s="10" t="s">
        <v>57</v>
      </c>
      <c r="G6" s="10" t="s">
        <v>58</v>
      </c>
    </row>
    <row r="7" customFormat="false" ht="23.25" hidden="false" customHeight="true" outlineLevel="0" collapsed="false">
      <c r="A7" s="11" t="s">
        <v>59</v>
      </c>
      <c r="B7" s="11" t="s">
        <v>39</v>
      </c>
      <c r="C7" s="11" t="s">
        <v>60</v>
      </c>
      <c r="D7" s="11" t="s">
        <v>61</v>
      </c>
      <c r="E7" s="11" t="s">
        <v>62</v>
      </c>
      <c r="F7" s="11" t="s">
        <v>62</v>
      </c>
      <c r="G7" s="11" t="s">
        <v>63</v>
      </c>
    </row>
    <row r="8" customFormat="false" ht="23.25" hidden="false" customHeight="true" outlineLevel="0" collapsed="false">
      <c r="A8" s="10" t="s">
        <v>64</v>
      </c>
      <c r="B8" s="10" t="s">
        <v>39</v>
      </c>
      <c r="C8" s="10" t="s">
        <v>65</v>
      </c>
      <c r="D8" s="10" t="s">
        <v>66</v>
      </c>
      <c r="E8" s="10" t="s">
        <v>62</v>
      </c>
      <c r="F8" s="10" t="s">
        <v>65</v>
      </c>
      <c r="G8" s="10" t="s">
        <v>67</v>
      </c>
    </row>
    <row r="9" customFormat="false" ht="23.25" hidden="false" customHeight="true" outlineLevel="0" collapsed="false">
      <c r="A9" s="11" t="s">
        <v>68</v>
      </c>
      <c r="B9" s="11" t="s">
        <v>46</v>
      </c>
      <c r="C9" s="11" t="s">
        <v>65</v>
      </c>
      <c r="D9" s="11" t="s">
        <v>69</v>
      </c>
      <c r="E9" s="11" t="s">
        <v>62</v>
      </c>
      <c r="F9" s="11" t="s">
        <v>65</v>
      </c>
      <c r="G9" s="11" t="s">
        <v>70</v>
      </c>
    </row>
    <row r="10" customFormat="false" ht="23.25" hidden="false" customHeight="true" outlineLevel="0" collapsed="false">
      <c r="A10" s="10" t="s">
        <v>71</v>
      </c>
      <c r="B10" s="10" t="s">
        <v>39</v>
      </c>
      <c r="C10" s="10" t="s">
        <v>60</v>
      </c>
      <c r="D10" s="10" t="s">
        <v>72</v>
      </c>
      <c r="E10" s="10" t="s">
        <v>62</v>
      </c>
      <c r="F10" s="10" t="s">
        <v>62</v>
      </c>
      <c r="G10" s="10"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8"/>
    <col collapsed="false" customWidth="true" hidden="false" outlineLevel="0" max="3" min="3" style="1" width="20"/>
    <col collapsed="false" customWidth="true" hidden="false" outlineLevel="0" max="4" min="4" style="1" width="11"/>
    <col collapsed="false" customWidth="true" hidden="false" outlineLevel="0" max="5" min="5" style="1" width="10"/>
  </cols>
  <sheetData>
    <row r="1" customFormat="false" ht="17.25" hidden="false" customHeight="true" outlineLevel="0" collapsed="false">
      <c r="A1" s="2" t="s">
        <v>74</v>
      </c>
    </row>
    <row r="2" customFormat="false" ht="15" hidden="false" customHeight="true" outlineLevel="0" collapsed="false">
      <c r="A2" s="3" t="s">
        <v>75</v>
      </c>
    </row>
    <row r="4" customFormat="false" ht="27.75" hidden="false" customHeight="true" outlineLevel="0" collapsed="false">
      <c r="A4" s="9" t="s">
        <v>76</v>
      </c>
      <c r="B4" s="9" t="s">
        <v>77</v>
      </c>
      <c r="C4" s="9" t="s">
        <v>78</v>
      </c>
      <c r="D4" s="9" t="s">
        <v>33</v>
      </c>
      <c r="E4" s="9" t="s">
        <v>79</v>
      </c>
    </row>
    <row r="5" customFormat="false" ht="15" hidden="false" customHeight="true" outlineLevel="0" collapsed="false">
      <c r="A5" s="10" t="s">
        <v>80</v>
      </c>
      <c r="B5" s="10" t="s">
        <v>81</v>
      </c>
      <c r="C5" s="10" t="s">
        <v>82</v>
      </c>
      <c r="D5" s="10" t="s">
        <v>83</v>
      </c>
      <c r="E5" s="10" t="n">
        <v>50</v>
      </c>
    </row>
    <row r="6" customFormat="false" ht="15" hidden="false" customHeight="true" outlineLevel="0" collapsed="false">
      <c r="A6" s="11" t="s">
        <v>80</v>
      </c>
      <c r="B6" s="11" t="s">
        <v>84</v>
      </c>
      <c r="C6" s="11" t="s">
        <v>82</v>
      </c>
      <c r="D6" s="11" t="s">
        <v>83</v>
      </c>
      <c r="E6" s="11" t="n">
        <v>90</v>
      </c>
    </row>
    <row r="7" customFormat="false" ht="15" hidden="false" customHeight="true" outlineLevel="0" collapsed="false">
      <c r="A7" s="10" t="s">
        <v>80</v>
      </c>
      <c r="B7" s="10" t="s">
        <v>85</v>
      </c>
      <c r="C7" s="10" t="s">
        <v>82</v>
      </c>
      <c r="D7" s="10" t="s">
        <v>83</v>
      </c>
      <c r="E7" s="10" t="n">
        <v>60</v>
      </c>
    </row>
    <row r="8" customFormat="false" ht="15" hidden="false" customHeight="true" outlineLevel="0" collapsed="false">
      <c r="A8" s="11" t="s">
        <v>80</v>
      </c>
      <c r="B8" s="11" t="s">
        <v>86</v>
      </c>
      <c r="C8" s="11" t="s">
        <v>82</v>
      </c>
      <c r="D8" s="11" t="s">
        <v>83</v>
      </c>
      <c r="E8" s="11" t="n">
        <v>80</v>
      </c>
    </row>
    <row r="9" customFormat="false" ht="15" hidden="false" customHeight="true" outlineLevel="0" collapsed="false">
      <c r="A9" s="10" t="s">
        <v>80</v>
      </c>
      <c r="B9" s="10" t="s">
        <v>87</v>
      </c>
      <c r="C9" s="10" t="s">
        <v>82</v>
      </c>
      <c r="D9" s="10" t="s">
        <v>83</v>
      </c>
      <c r="E9" s="10" t="n">
        <v>80</v>
      </c>
    </row>
    <row r="10" customFormat="false" ht="15" hidden="false" customHeight="true" outlineLevel="0" collapsed="false">
      <c r="A10" s="11" t="s">
        <v>80</v>
      </c>
      <c r="B10" s="11" t="s">
        <v>88</v>
      </c>
      <c r="C10" s="11" t="s">
        <v>82</v>
      </c>
      <c r="D10" s="11" t="s">
        <v>83</v>
      </c>
      <c r="E10" s="11" t="n">
        <v>20</v>
      </c>
    </row>
    <row r="11" customFormat="false" ht="15" hidden="false" customHeight="true" outlineLevel="0" collapsed="false">
      <c r="A11" s="10" t="s">
        <v>80</v>
      </c>
      <c r="B11" s="10" t="s">
        <v>89</v>
      </c>
      <c r="C11" s="10" t="s">
        <v>82</v>
      </c>
      <c r="D11" s="10" t="s">
        <v>83</v>
      </c>
      <c r="E11" s="10" t="n">
        <v>20</v>
      </c>
    </row>
    <row r="12" customFormat="false" ht="15" hidden="false" customHeight="true" outlineLevel="0" collapsed="false">
      <c r="A12" s="11" t="s">
        <v>80</v>
      </c>
      <c r="B12" s="11" t="s">
        <v>90</v>
      </c>
      <c r="C12" s="11" t="s">
        <v>82</v>
      </c>
      <c r="D12" s="11" t="s">
        <v>83</v>
      </c>
      <c r="E12" s="11" t="n">
        <v>20</v>
      </c>
    </row>
    <row r="13" customFormat="false" ht="15" hidden="false" customHeight="true" outlineLevel="0" collapsed="false">
      <c r="A13" s="10" t="s">
        <v>80</v>
      </c>
      <c r="B13" s="10" t="s">
        <v>91</v>
      </c>
      <c r="C13" s="10" t="s">
        <v>82</v>
      </c>
      <c r="D13" s="10" t="s">
        <v>83</v>
      </c>
      <c r="E13" s="10" t="n">
        <v>50</v>
      </c>
    </row>
    <row r="14" customFormat="false" ht="15" hidden="false" customHeight="true" outlineLevel="0" collapsed="false">
      <c r="A14" s="11" t="s">
        <v>80</v>
      </c>
      <c r="B14" s="11" t="s">
        <v>92</v>
      </c>
      <c r="C14" s="11" t="s">
        <v>82</v>
      </c>
      <c r="D14" s="11" t="s">
        <v>83</v>
      </c>
      <c r="E14" s="11" t="n">
        <v>50</v>
      </c>
    </row>
    <row r="15" customFormat="false" ht="15" hidden="false" customHeight="true" outlineLevel="0" collapsed="false">
      <c r="A15" s="10" t="s">
        <v>80</v>
      </c>
      <c r="B15" s="10" t="s">
        <v>93</v>
      </c>
      <c r="C15" s="10" t="s">
        <v>82</v>
      </c>
      <c r="D15" s="10" t="s">
        <v>83</v>
      </c>
      <c r="E15" s="10" t="n">
        <v>40</v>
      </c>
    </row>
    <row r="16" customFormat="false" ht="15" hidden="false" customHeight="true" outlineLevel="0" collapsed="false">
      <c r="A16" s="11" t="s">
        <v>80</v>
      </c>
      <c r="B16" s="11" t="s">
        <v>94</v>
      </c>
      <c r="C16" s="11" t="s">
        <v>82</v>
      </c>
      <c r="D16" s="11" t="s">
        <v>83</v>
      </c>
      <c r="E16" s="11" t="n">
        <v>40</v>
      </c>
    </row>
    <row r="17" customFormat="false" ht="15" hidden="false" customHeight="true" outlineLevel="0" collapsed="false">
      <c r="A17" s="10" t="s">
        <v>80</v>
      </c>
      <c r="B17" s="10" t="s">
        <v>95</v>
      </c>
      <c r="C17" s="10" t="s">
        <v>82</v>
      </c>
      <c r="D17" s="10" t="s">
        <v>83</v>
      </c>
      <c r="E17" s="10" t="n">
        <v>40</v>
      </c>
    </row>
    <row r="18" customFormat="false" ht="15" hidden="false" customHeight="true" outlineLevel="0" collapsed="false">
      <c r="A18" s="11" t="s">
        <v>80</v>
      </c>
      <c r="B18" s="11" t="s">
        <v>96</v>
      </c>
      <c r="C18" s="11" t="s">
        <v>82</v>
      </c>
      <c r="D18" s="11" t="s">
        <v>83</v>
      </c>
      <c r="E18" s="11" t="n">
        <v>40</v>
      </c>
    </row>
    <row r="19" customFormat="false" ht="15" hidden="false" customHeight="true" outlineLevel="0" collapsed="false">
      <c r="A19" s="10" t="s">
        <v>80</v>
      </c>
      <c r="B19" s="10" t="s">
        <v>97</v>
      </c>
      <c r="C19" s="10" t="s">
        <v>82</v>
      </c>
      <c r="D19" s="10" t="s">
        <v>83</v>
      </c>
      <c r="E19" s="10" t="n">
        <v>40</v>
      </c>
    </row>
    <row r="20" customFormat="false" ht="15" hidden="false" customHeight="true" outlineLevel="0" collapsed="false">
      <c r="A20" s="11" t="s">
        <v>80</v>
      </c>
      <c r="B20" s="11" t="s">
        <v>98</v>
      </c>
      <c r="C20" s="11" t="s">
        <v>82</v>
      </c>
      <c r="D20" s="11" t="s">
        <v>83</v>
      </c>
      <c r="E20" s="11" t="n">
        <v>40</v>
      </c>
    </row>
    <row r="21" customFormat="false" ht="15" hidden="false" customHeight="true" outlineLevel="0" collapsed="false">
      <c r="A21" s="10" t="s">
        <v>80</v>
      </c>
      <c r="B21" s="10" t="s">
        <v>99</v>
      </c>
      <c r="C21" s="10" t="s">
        <v>82</v>
      </c>
      <c r="D21" s="10" t="s">
        <v>83</v>
      </c>
      <c r="E21" s="10" t="n">
        <v>230</v>
      </c>
    </row>
    <row r="22" customFormat="false" ht="15" hidden="false" customHeight="true" outlineLevel="0" collapsed="false">
      <c r="A22" s="11" t="s">
        <v>80</v>
      </c>
      <c r="B22" s="11" t="s">
        <v>100</v>
      </c>
      <c r="C22" s="11" t="s">
        <v>82</v>
      </c>
      <c r="D22" s="11" t="s">
        <v>83</v>
      </c>
      <c r="E22" s="11" t="n">
        <v>80</v>
      </c>
    </row>
    <row r="23" customFormat="false" ht="15" hidden="false" customHeight="true" outlineLevel="0" collapsed="false">
      <c r="A23" s="10" t="s">
        <v>80</v>
      </c>
      <c r="B23" s="10" t="s">
        <v>101</v>
      </c>
      <c r="C23" s="10" t="s">
        <v>82</v>
      </c>
      <c r="D23" s="10" t="s">
        <v>83</v>
      </c>
      <c r="E23" s="10" t="n">
        <v>60</v>
      </c>
    </row>
    <row r="24" customFormat="false" ht="15" hidden="false" customHeight="true" outlineLevel="0" collapsed="false">
      <c r="A24" s="11" t="s">
        <v>80</v>
      </c>
      <c r="B24" s="11" t="s">
        <v>102</v>
      </c>
      <c r="C24" s="11" t="s">
        <v>82</v>
      </c>
      <c r="D24" s="11" t="s">
        <v>83</v>
      </c>
      <c r="E24" s="11" t="n">
        <v>15</v>
      </c>
    </row>
    <row r="25" customFormat="false" ht="15" hidden="false" customHeight="true" outlineLevel="0" collapsed="false">
      <c r="A25" s="10" t="s">
        <v>80</v>
      </c>
      <c r="B25" s="10" t="s">
        <v>103</v>
      </c>
      <c r="C25" s="10" t="s">
        <v>82</v>
      </c>
      <c r="D25" s="10" t="s">
        <v>83</v>
      </c>
      <c r="E25" s="10" t="n">
        <v>40</v>
      </c>
    </row>
    <row r="26" customFormat="false" ht="15" hidden="false" customHeight="true" outlineLevel="0" collapsed="false">
      <c r="A26" s="11" t="s">
        <v>80</v>
      </c>
      <c r="B26" s="11" t="s">
        <v>104</v>
      </c>
      <c r="C26" s="11" t="s">
        <v>82</v>
      </c>
      <c r="D26" s="11" t="s">
        <v>83</v>
      </c>
      <c r="E26" s="11" t="n">
        <v>60</v>
      </c>
    </row>
    <row r="27" customFormat="false" ht="15" hidden="false" customHeight="true" outlineLevel="0" collapsed="false">
      <c r="A27" s="10" t="s">
        <v>80</v>
      </c>
      <c r="B27" s="10" t="s">
        <v>105</v>
      </c>
      <c r="C27" s="10" t="s">
        <v>82</v>
      </c>
      <c r="D27" s="10" t="s">
        <v>83</v>
      </c>
      <c r="E27" s="10" t="n">
        <v>70</v>
      </c>
    </row>
    <row r="28" customFormat="false" ht="15" hidden="false" customHeight="true" outlineLevel="0" collapsed="false">
      <c r="A28" s="11" t="s">
        <v>80</v>
      </c>
      <c r="B28" s="11" t="s">
        <v>106</v>
      </c>
      <c r="C28" s="11" t="s">
        <v>82</v>
      </c>
      <c r="D28" s="11" t="s">
        <v>83</v>
      </c>
      <c r="E28" s="11" t="n">
        <v>70</v>
      </c>
    </row>
    <row r="29" customFormat="false" ht="15" hidden="false" customHeight="true" outlineLevel="0" collapsed="false">
      <c r="A29" s="10" t="s">
        <v>80</v>
      </c>
      <c r="B29" s="10" t="s">
        <v>107</v>
      </c>
      <c r="C29" s="10" t="s">
        <v>82</v>
      </c>
      <c r="D29" s="10" t="s">
        <v>83</v>
      </c>
      <c r="E29" s="10" t="n">
        <v>50</v>
      </c>
    </row>
    <row r="30" customFormat="false" ht="15" hidden="false" customHeight="true" outlineLevel="0" collapsed="false">
      <c r="A30" s="11" t="s">
        <v>80</v>
      </c>
      <c r="B30" s="11" t="s">
        <v>108</v>
      </c>
      <c r="C30" s="11" t="s">
        <v>82</v>
      </c>
      <c r="D30" s="11" t="s">
        <v>83</v>
      </c>
      <c r="E30" s="11" t="n">
        <v>45</v>
      </c>
    </row>
    <row r="31" customFormat="false" ht="15" hidden="false" customHeight="true" outlineLevel="0" collapsed="false">
      <c r="A31" s="10" t="s">
        <v>80</v>
      </c>
      <c r="B31" s="10" t="s">
        <v>109</v>
      </c>
      <c r="C31" s="10" t="s">
        <v>82</v>
      </c>
      <c r="D31" s="10" t="s">
        <v>83</v>
      </c>
      <c r="E31" s="10" t="n">
        <v>50</v>
      </c>
    </row>
    <row r="32" customFormat="false" ht="15" hidden="false" customHeight="true" outlineLevel="0" collapsed="false">
      <c r="A32" s="11" t="s">
        <v>80</v>
      </c>
      <c r="B32" s="11" t="s">
        <v>110</v>
      </c>
      <c r="C32" s="11" t="s">
        <v>82</v>
      </c>
      <c r="D32" s="11" t="s">
        <v>83</v>
      </c>
      <c r="E32" s="11" t="n">
        <v>30</v>
      </c>
    </row>
    <row r="33" customFormat="false" ht="15" hidden="false" customHeight="true" outlineLevel="0" collapsed="false">
      <c r="A33" s="10" t="s">
        <v>80</v>
      </c>
      <c r="B33" s="10" t="s">
        <v>111</v>
      </c>
      <c r="C33" s="10" t="s">
        <v>82</v>
      </c>
      <c r="D33" s="10" t="s">
        <v>83</v>
      </c>
      <c r="E33" s="10" t="n">
        <v>80</v>
      </c>
    </row>
    <row r="34" customFormat="false" ht="15" hidden="false" customHeight="true" outlineLevel="0" collapsed="false">
      <c r="A34" s="11" t="s">
        <v>80</v>
      </c>
      <c r="B34" s="11" t="s">
        <v>112</v>
      </c>
      <c r="C34" s="11" t="s">
        <v>82</v>
      </c>
      <c r="D34" s="11" t="s">
        <v>83</v>
      </c>
      <c r="E34" s="11" t="n">
        <v>60</v>
      </c>
    </row>
    <row r="35" customFormat="false" ht="15" hidden="false" customHeight="true" outlineLevel="0" collapsed="false">
      <c r="A35" s="10" t="s">
        <v>80</v>
      </c>
      <c r="B35" s="10" t="s">
        <v>113</v>
      </c>
      <c r="C35" s="10" t="s">
        <v>82</v>
      </c>
      <c r="D35" s="10" t="s">
        <v>83</v>
      </c>
      <c r="E35" s="10" t="n">
        <v>90</v>
      </c>
    </row>
    <row r="36" customFormat="false" ht="15" hidden="false" customHeight="true" outlineLevel="0" collapsed="false">
      <c r="A36" s="11" t="s">
        <v>80</v>
      </c>
      <c r="B36" s="11" t="s">
        <v>114</v>
      </c>
      <c r="C36" s="11" t="s">
        <v>82</v>
      </c>
      <c r="D36" s="11" t="s">
        <v>83</v>
      </c>
      <c r="E36" s="11" t="n">
        <v>130</v>
      </c>
    </row>
    <row r="37" customFormat="false" ht="15" hidden="false" customHeight="true" outlineLevel="0" collapsed="false">
      <c r="A37" s="10" t="s">
        <v>80</v>
      </c>
      <c r="B37" s="10" t="s">
        <v>115</v>
      </c>
      <c r="C37" s="10" t="s">
        <v>82</v>
      </c>
      <c r="D37" s="10" t="s">
        <v>83</v>
      </c>
      <c r="E37" s="10" t="n">
        <v>130</v>
      </c>
    </row>
    <row r="38" customFormat="false" ht="15" hidden="false" customHeight="true" outlineLevel="0" collapsed="false">
      <c r="A38" s="11" t="s">
        <v>80</v>
      </c>
      <c r="B38" s="11" t="s">
        <v>116</v>
      </c>
      <c r="C38" s="11" t="s">
        <v>82</v>
      </c>
      <c r="D38" s="11" t="s">
        <v>83</v>
      </c>
      <c r="E38" s="11" t="n">
        <v>55</v>
      </c>
    </row>
    <row r="39" customFormat="false" ht="15" hidden="false" customHeight="true" outlineLevel="0" collapsed="false">
      <c r="A39" s="10" t="s">
        <v>80</v>
      </c>
      <c r="B39" s="10" t="s">
        <v>117</v>
      </c>
      <c r="C39" s="10" t="s">
        <v>82</v>
      </c>
      <c r="D39" s="10" t="s">
        <v>83</v>
      </c>
      <c r="E39" s="10" t="n">
        <v>75</v>
      </c>
    </row>
    <row r="40" customFormat="false" ht="15" hidden="false" customHeight="true" outlineLevel="0" collapsed="false">
      <c r="A40" s="11" t="s">
        <v>80</v>
      </c>
      <c r="B40" s="11" t="s">
        <v>118</v>
      </c>
      <c r="C40" s="11" t="s">
        <v>82</v>
      </c>
      <c r="D40" s="11" t="s">
        <v>83</v>
      </c>
      <c r="E40" s="11" t="n">
        <v>200</v>
      </c>
    </row>
    <row r="41" customFormat="false" ht="15" hidden="false" customHeight="true" outlineLevel="0" collapsed="false">
      <c r="A41" s="10" t="s">
        <v>80</v>
      </c>
      <c r="B41" s="10" t="s">
        <v>119</v>
      </c>
      <c r="C41" s="10" t="s">
        <v>82</v>
      </c>
      <c r="D41" s="10" t="s">
        <v>83</v>
      </c>
      <c r="E41" s="10" t="n">
        <v>85</v>
      </c>
    </row>
    <row r="42" customFormat="false" ht="15" hidden="false" customHeight="true" outlineLevel="0" collapsed="false">
      <c r="A42" s="11" t="s">
        <v>80</v>
      </c>
      <c r="B42" s="11" t="s">
        <v>120</v>
      </c>
      <c r="C42" s="11" t="s">
        <v>82</v>
      </c>
      <c r="D42" s="11" t="s">
        <v>83</v>
      </c>
      <c r="E42" s="11" t="n">
        <v>40</v>
      </c>
    </row>
    <row r="43" customFormat="false" ht="15" hidden="false" customHeight="true" outlineLevel="0" collapsed="false">
      <c r="A43" s="10" t="s">
        <v>80</v>
      </c>
      <c r="B43" s="10" t="s">
        <v>121</v>
      </c>
      <c r="C43" s="10" t="s">
        <v>82</v>
      </c>
      <c r="D43" s="10" t="s">
        <v>83</v>
      </c>
      <c r="E43" s="10" t="n">
        <v>70</v>
      </c>
    </row>
    <row r="44" customFormat="false" ht="15" hidden="false" customHeight="true" outlineLevel="0" collapsed="false">
      <c r="A44" s="11" t="s">
        <v>80</v>
      </c>
      <c r="B44" s="11" t="s">
        <v>122</v>
      </c>
      <c r="C44" s="11" t="s">
        <v>82</v>
      </c>
      <c r="D44" s="11" t="s">
        <v>83</v>
      </c>
      <c r="E44" s="11" t="n">
        <v>60</v>
      </c>
    </row>
    <row r="45" customFormat="false" ht="15" hidden="false" customHeight="true" outlineLevel="0" collapsed="false">
      <c r="A45" s="10" t="s">
        <v>80</v>
      </c>
      <c r="B45" s="10" t="s">
        <v>123</v>
      </c>
      <c r="C45" s="10" t="s">
        <v>82</v>
      </c>
      <c r="D45" s="10" t="s">
        <v>83</v>
      </c>
      <c r="E45" s="10" t="n">
        <v>80</v>
      </c>
    </row>
    <row r="46" customFormat="false" ht="15" hidden="false" customHeight="true" outlineLevel="0" collapsed="false">
      <c r="A46" s="11" t="s">
        <v>80</v>
      </c>
      <c r="B46" s="11" t="s">
        <v>124</v>
      </c>
      <c r="C46" s="11" t="s">
        <v>82</v>
      </c>
      <c r="D46" s="11" t="s">
        <v>83</v>
      </c>
      <c r="E46" s="11" t="n">
        <v>80</v>
      </c>
    </row>
    <row r="47" customFormat="false" ht="15" hidden="false" customHeight="true" outlineLevel="0" collapsed="false">
      <c r="A47" s="10" t="s">
        <v>80</v>
      </c>
      <c r="B47" s="10" t="s">
        <v>125</v>
      </c>
      <c r="C47" s="10" t="s">
        <v>82</v>
      </c>
      <c r="D47" s="10" t="s">
        <v>83</v>
      </c>
      <c r="E47" s="10" t="n">
        <v>60</v>
      </c>
    </row>
    <row r="48" customFormat="false" ht="15" hidden="false" customHeight="true" outlineLevel="0" collapsed="false">
      <c r="A48" s="11" t="s">
        <v>80</v>
      </c>
      <c r="B48" s="11" t="s">
        <v>126</v>
      </c>
      <c r="C48" s="11" t="s">
        <v>82</v>
      </c>
      <c r="D48" s="11" t="s">
        <v>83</v>
      </c>
      <c r="E48" s="11" t="n">
        <v>80</v>
      </c>
    </row>
    <row r="49" customFormat="false" ht="15" hidden="false" customHeight="true" outlineLevel="0" collapsed="false">
      <c r="A49" s="10" t="s">
        <v>80</v>
      </c>
      <c r="B49" s="10" t="s">
        <v>127</v>
      </c>
      <c r="C49" s="10" t="s">
        <v>82</v>
      </c>
      <c r="D49" s="10" t="s">
        <v>83</v>
      </c>
      <c r="E49" s="10" t="n">
        <v>80</v>
      </c>
    </row>
    <row r="50" customFormat="false" ht="15" hidden="false" customHeight="true" outlineLevel="0" collapsed="false">
      <c r="A50" s="11" t="s">
        <v>80</v>
      </c>
      <c r="B50" s="11" t="s">
        <v>128</v>
      </c>
      <c r="C50" s="11" t="s">
        <v>82</v>
      </c>
      <c r="D50" s="11" t="s">
        <v>83</v>
      </c>
      <c r="E50" s="11" t="n">
        <v>300</v>
      </c>
    </row>
    <row r="51" customFormat="false" ht="15" hidden="false" customHeight="true" outlineLevel="0" collapsed="false">
      <c r="A51" s="10" t="s">
        <v>80</v>
      </c>
      <c r="B51" s="10" t="s">
        <v>129</v>
      </c>
      <c r="C51" s="10" t="s">
        <v>82</v>
      </c>
      <c r="D51" s="10" t="s">
        <v>83</v>
      </c>
      <c r="E51" s="10" t="n">
        <v>50</v>
      </c>
    </row>
    <row r="52" customFormat="false" ht="15" hidden="false" customHeight="true" outlineLevel="0" collapsed="false">
      <c r="A52" s="11" t="s">
        <v>80</v>
      </c>
      <c r="B52" s="11" t="s">
        <v>130</v>
      </c>
      <c r="C52" s="11" t="s">
        <v>82</v>
      </c>
      <c r="D52" s="11" t="s">
        <v>83</v>
      </c>
      <c r="E52" s="11" t="n">
        <v>40</v>
      </c>
    </row>
    <row r="53" customFormat="false" ht="15" hidden="false" customHeight="true" outlineLevel="0" collapsed="false">
      <c r="A53" s="10" t="s">
        <v>80</v>
      </c>
      <c r="B53" s="10" t="s">
        <v>131</v>
      </c>
      <c r="C53" s="10" t="s">
        <v>82</v>
      </c>
      <c r="D53" s="10" t="s">
        <v>83</v>
      </c>
      <c r="E53" s="10" t="n">
        <v>60</v>
      </c>
    </row>
    <row r="54" customFormat="false" ht="15" hidden="false" customHeight="true" outlineLevel="0" collapsed="false">
      <c r="A54" s="11" t="s">
        <v>80</v>
      </c>
      <c r="B54" s="11" t="s">
        <v>132</v>
      </c>
      <c r="C54" s="11" t="s">
        <v>82</v>
      </c>
      <c r="D54" s="11" t="s">
        <v>83</v>
      </c>
      <c r="E54" s="11" t="n">
        <v>300</v>
      </c>
    </row>
    <row r="55" customFormat="false" ht="15" hidden="false" customHeight="true" outlineLevel="0" collapsed="false">
      <c r="A55" s="10" t="s">
        <v>80</v>
      </c>
      <c r="B55" s="10" t="s">
        <v>133</v>
      </c>
      <c r="C55" s="10" t="s">
        <v>82</v>
      </c>
      <c r="D55" s="10" t="s">
        <v>83</v>
      </c>
      <c r="E55" s="10" t="n">
        <v>50</v>
      </c>
    </row>
    <row r="56" customFormat="false" ht="15" hidden="false" customHeight="true" outlineLevel="0" collapsed="false">
      <c r="A56" s="11" t="s">
        <v>80</v>
      </c>
      <c r="B56" s="11" t="s">
        <v>134</v>
      </c>
      <c r="C56" s="11" t="s">
        <v>135</v>
      </c>
      <c r="D56" s="11" t="s">
        <v>83</v>
      </c>
      <c r="E56" s="11" t="n">
        <v>80</v>
      </c>
    </row>
    <row r="57" customFormat="false" ht="15" hidden="false" customHeight="true" outlineLevel="0" collapsed="false">
      <c r="A57" s="10" t="s">
        <v>80</v>
      </c>
      <c r="B57" s="10" t="s">
        <v>136</v>
      </c>
      <c r="C57" s="10" t="s">
        <v>135</v>
      </c>
      <c r="D57" s="10" t="s">
        <v>83</v>
      </c>
      <c r="E57" s="10" t="n">
        <v>80</v>
      </c>
    </row>
    <row r="58" customFormat="false" ht="15" hidden="false" customHeight="true" outlineLevel="0" collapsed="false">
      <c r="A58" s="11" t="s">
        <v>80</v>
      </c>
      <c r="B58" s="11" t="s">
        <v>137</v>
      </c>
      <c r="C58" s="11" t="s">
        <v>135</v>
      </c>
      <c r="D58" s="11" t="s">
        <v>83</v>
      </c>
      <c r="E58" s="11" t="n">
        <v>120</v>
      </c>
    </row>
    <row r="59" customFormat="false" ht="15" hidden="false" customHeight="true" outlineLevel="0" collapsed="false">
      <c r="A59" s="10" t="s">
        <v>80</v>
      </c>
      <c r="B59" s="10" t="s">
        <v>138</v>
      </c>
      <c r="C59" s="10" t="s">
        <v>135</v>
      </c>
      <c r="D59" s="10" t="s">
        <v>83</v>
      </c>
      <c r="E59" s="10" t="n">
        <v>25</v>
      </c>
    </row>
    <row r="60" customFormat="false" ht="15" hidden="false" customHeight="true" outlineLevel="0" collapsed="false">
      <c r="A60" s="11" t="s">
        <v>80</v>
      </c>
      <c r="B60" s="11" t="s">
        <v>139</v>
      </c>
      <c r="C60" s="11" t="s">
        <v>135</v>
      </c>
      <c r="D60" s="11" t="s">
        <v>83</v>
      </c>
      <c r="E60" s="11" t="n">
        <v>80</v>
      </c>
    </row>
    <row r="61" customFormat="false" ht="15" hidden="false" customHeight="true" outlineLevel="0" collapsed="false">
      <c r="A61" s="10" t="s">
        <v>80</v>
      </c>
      <c r="B61" s="10" t="s">
        <v>140</v>
      </c>
      <c r="C61" s="10" t="s">
        <v>135</v>
      </c>
      <c r="D61" s="10" t="s">
        <v>83</v>
      </c>
      <c r="E61" s="10" t="n">
        <v>21</v>
      </c>
    </row>
    <row r="62" customFormat="false" ht="15" hidden="false" customHeight="true" outlineLevel="0" collapsed="false">
      <c r="A62" s="11" t="s">
        <v>80</v>
      </c>
      <c r="B62" s="11" t="s">
        <v>141</v>
      </c>
      <c r="C62" s="11" t="s">
        <v>135</v>
      </c>
      <c r="D62" s="11" t="s">
        <v>83</v>
      </c>
      <c r="E62" s="11" t="n">
        <v>80</v>
      </c>
    </row>
    <row r="63" customFormat="false" ht="15" hidden="false" customHeight="true" outlineLevel="0" collapsed="false">
      <c r="A63" s="10" t="s">
        <v>80</v>
      </c>
      <c r="B63" s="10" t="s">
        <v>142</v>
      </c>
      <c r="C63" s="10" t="s">
        <v>135</v>
      </c>
      <c r="D63" s="10" t="s">
        <v>83</v>
      </c>
      <c r="E63" s="10" t="n">
        <v>50</v>
      </c>
    </row>
    <row r="64" customFormat="false" ht="15" hidden="false" customHeight="true" outlineLevel="0" collapsed="false">
      <c r="A64" s="11" t="s">
        <v>80</v>
      </c>
      <c r="B64" s="11" t="s">
        <v>143</v>
      </c>
      <c r="C64" s="11" t="s">
        <v>135</v>
      </c>
      <c r="D64" s="11" t="s">
        <v>83</v>
      </c>
      <c r="E64" s="11" t="n">
        <v>130</v>
      </c>
    </row>
    <row r="65" customFormat="false" ht="15" hidden="false" customHeight="true" outlineLevel="0" collapsed="false">
      <c r="A65" s="10" t="s">
        <v>80</v>
      </c>
      <c r="B65" s="10" t="s">
        <v>144</v>
      </c>
      <c r="C65" s="10" t="s">
        <v>145</v>
      </c>
      <c r="D65" s="10" t="s">
        <v>83</v>
      </c>
      <c r="E65" s="10" t="n">
        <v>60</v>
      </c>
    </row>
    <row r="66" customFormat="false" ht="15" hidden="false" customHeight="true" outlineLevel="0" collapsed="false">
      <c r="A66" s="11" t="s">
        <v>80</v>
      </c>
      <c r="B66" s="11" t="s">
        <v>146</v>
      </c>
      <c r="C66" s="11" t="s">
        <v>145</v>
      </c>
      <c r="D66" s="11" t="s">
        <v>83</v>
      </c>
      <c r="E66" s="11" t="n">
        <v>89</v>
      </c>
    </row>
    <row r="67" customFormat="false" ht="15" hidden="false" customHeight="true" outlineLevel="0" collapsed="false">
      <c r="A67" s="10" t="s">
        <v>80</v>
      </c>
      <c r="B67" s="10" t="s">
        <v>147</v>
      </c>
      <c r="C67" s="10" t="s">
        <v>148</v>
      </c>
      <c r="D67" s="10" t="s">
        <v>83</v>
      </c>
      <c r="E67" s="10" t="n">
        <v>20</v>
      </c>
    </row>
    <row r="68" customFormat="false" ht="15" hidden="false" customHeight="true" outlineLevel="0" collapsed="false">
      <c r="A68" s="11" t="s">
        <v>80</v>
      </c>
      <c r="B68" s="11" t="s">
        <v>149</v>
      </c>
      <c r="C68" s="11" t="s">
        <v>148</v>
      </c>
      <c r="D68" s="11" t="s">
        <v>83</v>
      </c>
      <c r="E68" s="11" t="n">
        <v>120</v>
      </c>
    </row>
    <row r="69" customFormat="false" ht="15" hidden="false" customHeight="true" outlineLevel="0" collapsed="false">
      <c r="A69" s="10" t="s">
        <v>150</v>
      </c>
      <c r="B69" s="10" t="s">
        <v>151</v>
      </c>
      <c r="C69" s="10" t="s">
        <v>135</v>
      </c>
      <c r="D69" s="10" t="s">
        <v>152</v>
      </c>
      <c r="E69" s="10" t="n">
        <v>5</v>
      </c>
    </row>
    <row r="70" customFormat="false" ht="15" hidden="false" customHeight="true" outlineLevel="0" collapsed="false">
      <c r="A70" s="11" t="s">
        <v>150</v>
      </c>
      <c r="B70" s="11" t="s">
        <v>153</v>
      </c>
      <c r="C70" s="11" t="s">
        <v>135</v>
      </c>
      <c r="D70" s="11" t="s">
        <v>152</v>
      </c>
      <c r="E70" s="11" t="n">
        <v>27</v>
      </c>
    </row>
    <row r="71" customFormat="false" ht="15" hidden="false" customHeight="true" outlineLevel="0" collapsed="false">
      <c r="A71" s="10" t="s">
        <v>150</v>
      </c>
      <c r="B71" s="10" t="s">
        <v>154</v>
      </c>
      <c r="C71" s="10" t="s">
        <v>135</v>
      </c>
      <c r="D71" s="10" t="s">
        <v>152</v>
      </c>
      <c r="E71" s="10" t="n">
        <v>27</v>
      </c>
    </row>
    <row r="72" customFormat="false" ht="15" hidden="false" customHeight="true" outlineLevel="0" collapsed="false">
      <c r="A72" s="11" t="s">
        <v>150</v>
      </c>
      <c r="B72" s="11" t="s">
        <v>155</v>
      </c>
      <c r="C72" s="11" t="s">
        <v>135</v>
      </c>
      <c r="D72" s="11" t="s">
        <v>152</v>
      </c>
      <c r="E72" s="11" t="n">
        <v>27</v>
      </c>
    </row>
    <row r="73" customFormat="false" ht="15" hidden="false" customHeight="true" outlineLevel="0" collapsed="false">
      <c r="A73" s="10" t="s">
        <v>150</v>
      </c>
      <c r="B73" s="10" t="s">
        <v>156</v>
      </c>
      <c r="C73" s="10" t="s">
        <v>135</v>
      </c>
      <c r="D73" s="10" t="s">
        <v>152</v>
      </c>
      <c r="E73" s="10" t="n">
        <v>28</v>
      </c>
    </row>
    <row r="74" customFormat="false" ht="15" hidden="false" customHeight="true" outlineLevel="0" collapsed="false">
      <c r="A74" s="11" t="s">
        <v>150</v>
      </c>
      <c r="B74" s="11" t="s">
        <v>157</v>
      </c>
      <c r="C74" s="11" t="s">
        <v>135</v>
      </c>
      <c r="D74" s="11" t="s">
        <v>152</v>
      </c>
      <c r="E74" s="11" t="n">
        <v>35</v>
      </c>
    </row>
    <row r="75" customFormat="false" ht="15" hidden="false" customHeight="true" outlineLevel="0" collapsed="false">
      <c r="A75" s="10" t="s">
        <v>150</v>
      </c>
      <c r="B75" s="10" t="s">
        <v>158</v>
      </c>
      <c r="C75" s="10" t="s">
        <v>135</v>
      </c>
      <c r="D75" s="10" t="s">
        <v>152</v>
      </c>
      <c r="E75" s="10" t="n">
        <v>28</v>
      </c>
    </row>
    <row r="76" customFormat="false" ht="15" hidden="false" customHeight="true" outlineLevel="0" collapsed="false">
      <c r="A76" s="11" t="s">
        <v>150</v>
      </c>
      <c r="B76" s="11" t="s">
        <v>159</v>
      </c>
      <c r="C76" s="11" t="s">
        <v>135</v>
      </c>
      <c r="D76" s="11" t="s">
        <v>152</v>
      </c>
      <c r="E76" s="11" t="n">
        <v>24</v>
      </c>
    </row>
    <row r="77" customFormat="false" ht="15" hidden="false" customHeight="true" outlineLevel="0" collapsed="false">
      <c r="A77" s="10" t="s">
        <v>150</v>
      </c>
      <c r="B77" s="10" t="s">
        <v>160</v>
      </c>
      <c r="C77" s="10" t="s">
        <v>135</v>
      </c>
      <c r="D77" s="10" t="s">
        <v>152</v>
      </c>
      <c r="E77" s="10" t="n">
        <v>24</v>
      </c>
    </row>
    <row r="78" customFormat="false" ht="15" hidden="false" customHeight="true" outlineLevel="0" collapsed="false">
      <c r="A78" s="11" t="s">
        <v>150</v>
      </c>
      <c r="B78" s="11" t="s">
        <v>141</v>
      </c>
      <c r="C78" s="11" t="s">
        <v>135</v>
      </c>
      <c r="D78" s="11" t="s">
        <v>152</v>
      </c>
      <c r="E78" s="11" t="n">
        <v>25</v>
      </c>
    </row>
    <row r="79" customFormat="false" ht="15" hidden="false" customHeight="true" outlineLevel="0" collapsed="false">
      <c r="A79" s="10" t="s">
        <v>150</v>
      </c>
      <c r="B79" s="10" t="s">
        <v>161</v>
      </c>
      <c r="C79" s="10" t="s">
        <v>135</v>
      </c>
      <c r="D79" s="10" t="s">
        <v>152</v>
      </c>
      <c r="E79" s="10" t="n">
        <v>27</v>
      </c>
    </row>
    <row r="80" customFormat="false" ht="15" hidden="false" customHeight="true" outlineLevel="0" collapsed="false">
      <c r="A80" s="11" t="s">
        <v>150</v>
      </c>
      <c r="B80" s="11" t="s">
        <v>162</v>
      </c>
      <c r="C80" s="11" t="s">
        <v>135</v>
      </c>
      <c r="D80" s="11" t="s">
        <v>152</v>
      </c>
      <c r="E80" s="11" t="n">
        <v>5</v>
      </c>
    </row>
    <row r="81" customFormat="false" ht="15" hidden="false" customHeight="true" outlineLevel="0" collapsed="false">
      <c r="A81" s="10" t="s">
        <v>150</v>
      </c>
      <c r="B81" s="10" t="s">
        <v>163</v>
      </c>
      <c r="C81" s="10" t="s">
        <v>135</v>
      </c>
      <c r="D81" s="10" t="s">
        <v>152</v>
      </c>
      <c r="E81" s="10" t="n">
        <v>33</v>
      </c>
    </row>
    <row r="82" customFormat="false" ht="15" hidden="false" customHeight="true" outlineLevel="0" collapsed="false">
      <c r="A82" s="11" t="s">
        <v>150</v>
      </c>
      <c r="B82" s="11" t="s">
        <v>164</v>
      </c>
      <c r="C82" s="11" t="s">
        <v>135</v>
      </c>
      <c r="D82" s="11" t="s">
        <v>152</v>
      </c>
      <c r="E82" s="11" t="n">
        <v>13</v>
      </c>
    </row>
    <row r="83" customFormat="false" ht="15" hidden="false" customHeight="true" outlineLevel="0" collapsed="false">
      <c r="A83" s="10" t="s">
        <v>150</v>
      </c>
      <c r="B83" s="10" t="s">
        <v>165</v>
      </c>
      <c r="C83" s="10" t="s">
        <v>135</v>
      </c>
      <c r="D83" s="10" t="s">
        <v>152</v>
      </c>
      <c r="E83" s="10" t="n">
        <v>30</v>
      </c>
    </row>
    <row r="84" customFormat="false" ht="15" hidden="false" customHeight="true" outlineLevel="0" collapsed="false">
      <c r="A84" s="11" t="s">
        <v>150</v>
      </c>
      <c r="B84" s="11" t="s">
        <v>84</v>
      </c>
      <c r="C84" s="11" t="s">
        <v>82</v>
      </c>
      <c r="D84" s="11" t="s">
        <v>152</v>
      </c>
      <c r="E84" s="11" t="n">
        <v>27</v>
      </c>
    </row>
    <row r="85" customFormat="false" ht="15" hidden="false" customHeight="true" outlineLevel="0" collapsed="false">
      <c r="A85" s="10" t="s">
        <v>150</v>
      </c>
      <c r="B85" s="10" t="s">
        <v>85</v>
      </c>
      <c r="C85" s="10" t="s">
        <v>82</v>
      </c>
      <c r="D85" s="10" t="s">
        <v>152</v>
      </c>
      <c r="E85" s="10" t="n">
        <v>20</v>
      </c>
    </row>
    <row r="86" customFormat="false" ht="15" hidden="false" customHeight="true" outlineLevel="0" collapsed="false">
      <c r="A86" s="11" t="s">
        <v>150</v>
      </c>
      <c r="B86" s="11" t="s">
        <v>86</v>
      </c>
      <c r="C86" s="11" t="s">
        <v>82</v>
      </c>
      <c r="D86" s="11" t="s">
        <v>152</v>
      </c>
      <c r="E86" s="11" t="n">
        <v>27</v>
      </c>
    </row>
    <row r="87" customFormat="false" ht="15" hidden="false" customHeight="true" outlineLevel="0" collapsed="false">
      <c r="A87" s="10" t="s">
        <v>150</v>
      </c>
      <c r="B87" s="10" t="s">
        <v>87</v>
      </c>
      <c r="C87" s="10" t="s">
        <v>82</v>
      </c>
      <c r="D87" s="10" t="s">
        <v>152</v>
      </c>
      <c r="E87" s="10" t="n">
        <v>27</v>
      </c>
    </row>
    <row r="88" customFormat="false" ht="15" hidden="false" customHeight="true" outlineLevel="0" collapsed="false">
      <c r="A88" s="11" t="s">
        <v>150</v>
      </c>
      <c r="B88" s="11" t="s">
        <v>166</v>
      </c>
      <c r="C88" s="11" t="s">
        <v>82</v>
      </c>
      <c r="D88" s="11" t="s">
        <v>152</v>
      </c>
      <c r="E88" s="11" t="n">
        <v>9</v>
      </c>
    </row>
    <row r="89" customFormat="false" ht="15" hidden="false" customHeight="true" outlineLevel="0" collapsed="false">
      <c r="A89" s="10" t="s">
        <v>150</v>
      </c>
      <c r="B89" s="10" t="s">
        <v>167</v>
      </c>
      <c r="C89" s="10" t="s">
        <v>82</v>
      </c>
      <c r="D89" s="10" t="s">
        <v>152</v>
      </c>
      <c r="E89" s="10" t="n">
        <v>9</v>
      </c>
    </row>
    <row r="90" customFormat="false" ht="15" hidden="false" customHeight="true" outlineLevel="0" collapsed="false">
      <c r="A90" s="11" t="s">
        <v>150</v>
      </c>
      <c r="B90" s="11" t="s">
        <v>100</v>
      </c>
      <c r="C90" s="11" t="s">
        <v>82</v>
      </c>
      <c r="D90" s="11" t="s">
        <v>152</v>
      </c>
      <c r="E90" s="11" t="n">
        <v>27</v>
      </c>
    </row>
    <row r="91" customFormat="false" ht="15" hidden="false" customHeight="true" outlineLevel="0" collapsed="false">
      <c r="A91" s="10" t="s">
        <v>150</v>
      </c>
      <c r="B91" s="10" t="s">
        <v>103</v>
      </c>
      <c r="C91" s="10" t="s">
        <v>82</v>
      </c>
      <c r="D91" s="10" t="s">
        <v>152</v>
      </c>
      <c r="E91" s="10" t="n">
        <v>19</v>
      </c>
    </row>
    <row r="92" customFormat="false" ht="15" hidden="false" customHeight="true" outlineLevel="0" collapsed="false">
      <c r="A92" s="11" t="s">
        <v>150</v>
      </c>
      <c r="B92" s="11" t="s">
        <v>102</v>
      </c>
      <c r="C92" s="11" t="s">
        <v>82</v>
      </c>
      <c r="D92" s="11" t="s">
        <v>152</v>
      </c>
      <c r="E92" s="11" t="n">
        <v>5</v>
      </c>
    </row>
    <row r="93" customFormat="false" ht="15" hidden="false" customHeight="true" outlineLevel="0" collapsed="false">
      <c r="A93" s="10" t="s">
        <v>150</v>
      </c>
      <c r="B93" s="10" t="s">
        <v>104</v>
      </c>
      <c r="C93" s="10" t="s">
        <v>82</v>
      </c>
      <c r="D93" s="10" t="s">
        <v>152</v>
      </c>
      <c r="E93" s="10" t="n">
        <v>20</v>
      </c>
    </row>
    <row r="94" customFormat="false" ht="15" hidden="false" customHeight="true" outlineLevel="0" collapsed="false">
      <c r="A94" s="11" t="s">
        <v>150</v>
      </c>
      <c r="B94" s="11" t="s">
        <v>112</v>
      </c>
      <c r="C94" s="11" t="s">
        <v>82</v>
      </c>
      <c r="D94" s="11" t="s">
        <v>152</v>
      </c>
      <c r="E94" s="11" t="n">
        <v>20</v>
      </c>
    </row>
    <row r="95" customFormat="false" ht="15" hidden="false" customHeight="true" outlineLevel="0" collapsed="false">
      <c r="A95" s="10" t="s">
        <v>150</v>
      </c>
      <c r="B95" s="10" t="s">
        <v>111</v>
      </c>
      <c r="C95" s="10" t="s">
        <v>82</v>
      </c>
      <c r="D95" s="10" t="s">
        <v>152</v>
      </c>
      <c r="E95" s="10" t="n">
        <v>27</v>
      </c>
    </row>
    <row r="96" customFormat="false" ht="15" hidden="false" customHeight="true" outlineLevel="0" collapsed="false">
      <c r="A96" s="11" t="s">
        <v>150</v>
      </c>
      <c r="B96" s="11" t="s">
        <v>116</v>
      </c>
      <c r="C96" s="11" t="s">
        <v>82</v>
      </c>
      <c r="D96" s="11" t="s">
        <v>152</v>
      </c>
      <c r="E96" s="11" t="n">
        <v>21</v>
      </c>
    </row>
    <row r="97" customFormat="false" ht="15" hidden="false" customHeight="true" outlineLevel="0" collapsed="false">
      <c r="A97" s="10" t="s">
        <v>150</v>
      </c>
      <c r="B97" s="10" t="s">
        <v>168</v>
      </c>
      <c r="C97" s="10" t="s">
        <v>82</v>
      </c>
      <c r="D97" s="10" t="s">
        <v>152</v>
      </c>
      <c r="E97" s="10" t="n">
        <v>15</v>
      </c>
    </row>
    <row r="98" customFormat="false" ht="15" hidden="false" customHeight="true" outlineLevel="0" collapsed="false">
      <c r="A98" s="11" t="s">
        <v>150</v>
      </c>
      <c r="B98" s="11" t="s">
        <v>123</v>
      </c>
      <c r="C98" s="11" t="s">
        <v>82</v>
      </c>
      <c r="D98" s="11" t="s">
        <v>152</v>
      </c>
      <c r="E98" s="11" t="n">
        <v>27</v>
      </c>
    </row>
    <row r="99" customFormat="false" ht="15" hidden="false" customHeight="true" outlineLevel="0" collapsed="false">
      <c r="A99" s="10" t="s">
        <v>150</v>
      </c>
      <c r="B99" s="10" t="s">
        <v>124</v>
      </c>
      <c r="C99" s="10" t="s">
        <v>82</v>
      </c>
      <c r="D99" s="10" t="s">
        <v>152</v>
      </c>
      <c r="E99" s="10" t="n">
        <v>27</v>
      </c>
    </row>
    <row r="100" customFormat="false" ht="15" hidden="false" customHeight="true" outlineLevel="0" collapsed="false">
      <c r="A100" s="11" t="s">
        <v>150</v>
      </c>
      <c r="B100" s="11" t="s">
        <v>169</v>
      </c>
      <c r="C100" s="11" t="s">
        <v>82</v>
      </c>
      <c r="D100" s="11" t="s">
        <v>152</v>
      </c>
      <c r="E100" s="11" t="n">
        <v>21</v>
      </c>
    </row>
    <row r="101" customFormat="false" ht="15" hidden="false" customHeight="true" outlineLevel="0" collapsed="false">
      <c r="A101" s="10" t="s">
        <v>150</v>
      </c>
      <c r="B101" s="10" t="s">
        <v>126</v>
      </c>
      <c r="C101" s="10" t="s">
        <v>82</v>
      </c>
      <c r="D101" s="10" t="s">
        <v>152</v>
      </c>
      <c r="E101" s="10" t="n">
        <v>27</v>
      </c>
    </row>
    <row r="102" customFormat="false" ht="15" hidden="false" customHeight="true" outlineLevel="0" collapsed="false">
      <c r="A102" s="11" t="s">
        <v>150</v>
      </c>
      <c r="B102" s="11" t="s">
        <v>170</v>
      </c>
      <c r="C102" s="11" t="s">
        <v>82</v>
      </c>
      <c r="D102" s="11" t="s">
        <v>152</v>
      </c>
      <c r="E102" s="11" t="n">
        <v>14</v>
      </c>
    </row>
    <row r="103" customFormat="false" ht="15" hidden="false" customHeight="true" outlineLevel="0" collapsed="false">
      <c r="A103" s="10" t="s">
        <v>150</v>
      </c>
      <c r="B103" s="10" t="s">
        <v>171</v>
      </c>
      <c r="C103" s="10" t="s">
        <v>82</v>
      </c>
      <c r="D103" s="10" t="s">
        <v>152</v>
      </c>
      <c r="E103" s="10" t="n">
        <v>21</v>
      </c>
    </row>
    <row r="104" customFormat="false" ht="15" hidden="false" customHeight="true" outlineLevel="0" collapsed="false">
      <c r="A104" s="11" t="s">
        <v>150</v>
      </c>
      <c r="B104" s="11" t="s">
        <v>172</v>
      </c>
      <c r="C104" s="11" t="s">
        <v>82</v>
      </c>
      <c r="D104" s="11" t="s">
        <v>152</v>
      </c>
      <c r="E104" s="11" t="n">
        <v>15</v>
      </c>
    </row>
    <row r="105" customFormat="false" ht="15" hidden="false" customHeight="true" outlineLevel="0" collapsed="false">
      <c r="A105" s="10" t="s">
        <v>150</v>
      </c>
      <c r="B105" s="10" t="s">
        <v>173</v>
      </c>
      <c r="C105" s="10" t="s">
        <v>82</v>
      </c>
      <c r="D105" s="10" t="s">
        <v>152</v>
      </c>
      <c r="E105" s="10" t="n">
        <v>27</v>
      </c>
    </row>
    <row r="106" customFormat="false" ht="15" hidden="false" customHeight="true" outlineLevel="0" collapsed="false">
      <c r="A106" s="11" t="s">
        <v>150</v>
      </c>
      <c r="B106" s="11" t="s">
        <v>114</v>
      </c>
      <c r="C106" s="11" t="s">
        <v>82</v>
      </c>
      <c r="D106" s="11" t="s">
        <v>152</v>
      </c>
      <c r="E106" s="11" t="n">
        <v>35</v>
      </c>
    </row>
    <row r="107" customFormat="false" ht="15" hidden="false" customHeight="true" outlineLevel="0" collapsed="false">
      <c r="A107" s="10" t="s">
        <v>150</v>
      </c>
      <c r="B107" s="10" t="s">
        <v>115</v>
      </c>
      <c r="C107" s="10" t="s">
        <v>82</v>
      </c>
      <c r="D107" s="10" t="s">
        <v>152</v>
      </c>
      <c r="E107" s="10" t="n">
        <v>35</v>
      </c>
    </row>
    <row r="108" customFormat="false" ht="15" hidden="false" customHeight="true" outlineLevel="0" collapsed="false">
      <c r="A108" s="11" t="s">
        <v>150</v>
      </c>
      <c r="B108" s="11" t="s">
        <v>174</v>
      </c>
      <c r="C108" s="11" t="s">
        <v>148</v>
      </c>
      <c r="D108" s="11" t="s">
        <v>152</v>
      </c>
      <c r="E108" s="11" t="n">
        <v>15</v>
      </c>
    </row>
    <row r="109" customFormat="false" ht="15" hidden="false" customHeight="true" outlineLevel="0" collapsed="false">
      <c r="A109" s="10" t="s">
        <v>150</v>
      </c>
      <c r="B109" s="10" t="s">
        <v>175</v>
      </c>
      <c r="C109" s="10" t="s">
        <v>148</v>
      </c>
      <c r="D109" s="10" t="s">
        <v>152</v>
      </c>
      <c r="E109" s="10" t="n">
        <v>47</v>
      </c>
    </row>
    <row r="110" customFormat="false" ht="15" hidden="false" customHeight="true" outlineLevel="0" collapsed="false">
      <c r="A110" s="11" t="s">
        <v>150</v>
      </c>
      <c r="B110" s="11" t="s">
        <v>176</v>
      </c>
      <c r="C110" s="11" t="s">
        <v>148</v>
      </c>
      <c r="D110" s="11" t="s">
        <v>152</v>
      </c>
      <c r="E110" s="11" t="n">
        <v>10</v>
      </c>
    </row>
    <row r="111" customFormat="false" ht="15" hidden="false" customHeight="true" outlineLevel="0" collapsed="false">
      <c r="A111" s="10" t="s">
        <v>150</v>
      </c>
      <c r="B111" s="10" t="s">
        <v>177</v>
      </c>
      <c r="C111" s="10" t="s">
        <v>148</v>
      </c>
      <c r="D111" s="10" t="s">
        <v>152</v>
      </c>
      <c r="E111" s="10" t="n">
        <v>6</v>
      </c>
    </row>
    <row r="112" customFormat="false" ht="15" hidden="false" customHeight="true" outlineLevel="0" collapsed="false">
      <c r="A112" s="11" t="s">
        <v>150</v>
      </c>
      <c r="B112" s="11" t="s">
        <v>178</v>
      </c>
      <c r="C112" s="11" t="s">
        <v>148</v>
      </c>
      <c r="D112" s="11" t="s">
        <v>152</v>
      </c>
      <c r="E112" s="11" t="n">
        <v>6</v>
      </c>
    </row>
    <row r="113" customFormat="false" ht="15" hidden="false" customHeight="true" outlineLevel="0" collapsed="false">
      <c r="A113" s="10" t="s">
        <v>150</v>
      </c>
      <c r="B113" s="10" t="s">
        <v>179</v>
      </c>
      <c r="C113" s="10" t="s">
        <v>148</v>
      </c>
      <c r="D113" s="10" t="s">
        <v>152</v>
      </c>
      <c r="E113" s="10" t="n">
        <v>10</v>
      </c>
    </row>
    <row r="114" customFormat="false" ht="15" hidden="false" customHeight="true" outlineLevel="0" collapsed="false">
      <c r="A114" s="11" t="s">
        <v>150</v>
      </c>
      <c r="B114" s="11" t="s">
        <v>180</v>
      </c>
      <c r="C114" s="11" t="s">
        <v>148</v>
      </c>
      <c r="D114" s="11" t="s">
        <v>152</v>
      </c>
      <c r="E114" s="11" t="n">
        <v>10</v>
      </c>
    </row>
    <row r="115" customFormat="false" ht="15" hidden="false" customHeight="true" outlineLevel="0" collapsed="false">
      <c r="A115" s="10" t="s">
        <v>150</v>
      </c>
      <c r="B115" s="10" t="s">
        <v>181</v>
      </c>
      <c r="C115" s="10" t="s">
        <v>148</v>
      </c>
      <c r="D115" s="10" t="s">
        <v>152</v>
      </c>
      <c r="E115" s="10" t="n">
        <v>10</v>
      </c>
    </row>
    <row r="116" customFormat="false" ht="15" hidden="false" customHeight="true" outlineLevel="0" collapsed="false">
      <c r="A116" s="11" t="s">
        <v>150</v>
      </c>
      <c r="B116" s="11" t="s">
        <v>182</v>
      </c>
      <c r="C116" s="11" t="s">
        <v>148</v>
      </c>
      <c r="D116" s="11" t="s">
        <v>152</v>
      </c>
      <c r="E116" s="11" t="n">
        <v>10</v>
      </c>
    </row>
    <row r="117" customFormat="false" ht="15" hidden="false" customHeight="true" outlineLevel="0" collapsed="false">
      <c r="A117" s="10" t="s">
        <v>150</v>
      </c>
      <c r="B117" s="10" t="s">
        <v>183</v>
      </c>
      <c r="C117" s="10" t="s">
        <v>148</v>
      </c>
      <c r="D117" s="10" t="s">
        <v>152</v>
      </c>
      <c r="E117" s="10" t="n">
        <v>10</v>
      </c>
    </row>
    <row r="118" customFormat="false" ht="15" hidden="false" customHeight="true" outlineLevel="0" collapsed="false">
      <c r="A118" s="11" t="s">
        <v>184</v>
      </c>
      <c r="B118" s="11" t="s">
        <v>84</v>
      </c>
      <c r="C118" s="11" t="s">
        <v>82</v>
      </c>
      <c r="D118" s="11" t="s">
        <v>185</v>
      </c>
      <c r="E118" s="11" t="n">
        <v>27</v>
      </c>
    </row>
    <row r="119" customFormat="false" ht="15" hidden="false" customHeight="true" outlineLevel="0" collapsed="false">
      <c r="A119" s="10" t="s">
        <v>184</v>
      </c>
      <c r="B119" s="10" t="s">
        <v>85</v>
      </c>
      <c r="C119" s="10" t="s">
        <v>82</v>
      </c>
      <c r="D119" s="10" t="s">
        <v>185</v>
      </c>
      <c r="E119" s="10" t="n">
        <v>22</v>
      </c>
    </row>
    <row r="120" customFormat="false" ht="15" hidden="false" customHeight="true" outlineLevel="0" collapsed="false">
      <c r="A120" s="11" t="s">
        <v>184</v>
      </c>
      <c r="B120" s="11" t="s">
        <v>86</v>
      </c>
      <c r="C120" s="11" t="s">
        <v>82</v>
      </c>
      <c r="D120" s="11" t="s">
        <v>185</v>
      </c>
      <c r="E120" s="11" t="n">
        <v>27</v>
      </c>
    </row>
    <row r="121" customFormat="false" ht="15" hidden="false" customHeight="true" outlineLevel="0" collapsed="false">
      <c r="A121" s="10" t="s">
        <v>184</v>
      </c>
      <c r="B121" s="10" t="s">
        <v>87</v>
      </c>
      <c r="C121" s="10" t="s">
        <v>82</v>
      </c>
      <c r="D121" s="10" t="s">
        <v>185</v>
      </c>
      <c r="E121" s="10" t="n">
        <v>27</v>
      </c>
    </row>
    <row r="122" customFormat="false" ht="15" hidden="false" customHeight="true" outlineLevel="0" collapsed="false">
      <c r="A122" s="11" t="s">
        <v>184</v>
      </c>
      <c r="B122" s="11" t="s">
        <v>166</v>
      </c>
      <c r="C122" s="11" t="s">
        <v>82</v>
      </c>
      <c r="D122" s="11" t="s">
        <v>185</v>
      </c>
      <c r="E122" s="11" t="n">
        <v>10</v>
      </c>
    </row>
    <row r="123" customFormat="false" ht="15" hidden="false" customHeight="true" outlineLevel="0" collapsed="false">
      <c r="A123" s="10" t="s">
        <v>184</v>
      </c>
      <c r="B123" s="10" t="s">
        <v>167</v>
      </c>
      <c r="C123" s="10" t="s">
        <v>82</v>
      </c>
      <c r="D123" s="10" t="s">
        <v>185</v>
      </c>
      <c r="E123" s="10" t="n">
        <v>10</v>
      </c>
    </row>
    <row r="124" customFormat="false" ht="15" hidden="false" customHeight="true" outlineLevel="0" collapsed="false">
      <c r="A124" s="11" t="s">
        <v>184</v>
      </c>
      <c r="B124" s="11" t="s">
        <v>100</v>
      </c>
      <c r="C124" s="11" t="s">
        <v>82</v>
      </c>
      <c r="D124" s="11" t="s">
        <v>185</v>
      </c>
      <c r="E124" s="11" t="n">
        <v>27</v>
      </c>
    </row>
    <row r="125" customFormat="false" ht="15" hidden="false" customHeight="true" outlineLevel="0" collapsed="false">
      <c r="A125" s="10" t="s">
        <v>184</v>
      </c>
      <c r="B125" s="10" t="s">
        <v>186</v>
      </c>
      <c r="C125" s="10" t="s">
        <v>82</v>
      </c>
      <c r="D125" s="10" t="s">
        <v>185</v>
      </c>
      <c r="E125" s="10" t="n">
        <v>20</v>
      </c>
    </row>
    <row r="126" customFormat="false" ht="15" hidden="false" customHeight="true" outlineLevel="0" collapsed="false">
      <c r="A126" s="11" t="s">
        <v>184</v>
      </c>
      <c r="B126" s="11" t="s">
        <v>102</v>
      </c>
      <c r="C126" s="11" t="s">
        <v>82</v>
      </c>
      <c r="D126" s="11" t="s">
        <v>185</v>
      </c>
      <c r="E126" s="11" t="n">
        <v>8</v>
      </c>
    </row>
    <row r="127" customFormat="false" ht="15" hidden="false" customHeight="true" outlineLevel="0" collapsed="false">
      <c r="A127" s="10" t="s">
        <v>184</v>
      </c>
      <c r="B127" s="10" t="s">
        <v>104</v>
      </c>
      <c r="C127" s="10" t="s">
        <v>82</v>
      </c>
      <c r="D127" s="10" t="s">
        <v>185</v>
      </c>
      <c r="E127" s="10" t="n">
        <v>19</v>
      </c>
    </row>
    <row r="128" customFormat="false" ht="15" hidden="false" customHeight="true" outlineLevel="0" collapsed="false">
      <c r="A128" s="11" t="s">
        <v>184</v>
      </c>
      <c r="B128" s="11" t="s">
        <v>187</v>
      </c>
      <c r="C128" s="11" t="s">
        <v>82</v>
      </c>
      <c r="D128" s="11" t="s">
        <v>185</v>
      </c>
      <c r="E128" s="11" t="n">
        <v>22</v>
      </c>
    </row>
    <row r="129" customFormat="false" ht="15" hidden="false" customHeight="true" outlineLevel="0" collapsed="false">
      <c r="A129" s="10" t="s">
        <v>184</v>
      </c>
      <c r="B129" s="10" t="s">
        <v>110</v>
      </c>
      <c r="C129" s="10" t="s">
        <v>82</v>
      </c>
      <c r="D129" s="10" t="s">
        <v>185</v>
      </c>
      <c r="E129" s="10" t="n">
        <v>15</v>
      </c>
    </row>
    <row r="130" customFormat="false" ht="15" hidden="false" customHeight="true" outlineLevel="0" collapsed="false">
      <c r="A130" s="11" t="s">
        <v>184</v>
      </c>
      <c r="B130" s="11" t="s">
        <v>112</v>
      </c>
      <c r="C130" s="11" t="s">
        <v>82</v>
      </c>
      <c r="D130" s="11" t="s">
        <v>185</v>
      </c>
      <c r="E130" s="11" t="n">
        <v>20</v>
      </c>
    </row>
    <row r="131" customFormat="false" ht="15" hidden="false" customHeight="true" outlineLevel="0" collapsed="false">
      <c r="A131" s="10" t="s">
        <v>184</v>
      </c>
      <c r="B131" s="10" t="s">
        <v>111</v>
      </c>
      <c r="C131" s="10" t="s">
        <v>82</v>
      </c>
      <c r="D131" s="10" t="s">
        <v>185</v>
      </c>
      <c r="E131" s="10" t="n">
        <v>27</v>
      </c>
    </row>
    <row r="132" customFormat="false" ht="15" hidden="false" customHeight="true" outlineLevel="0" collapsed="false">
      <c r="A132" s="11" t="s">
        <v>184</v>
      </c>
      <c r="B132" s="11" t="s">
        <v>116</v>
      </c>
      <c r="C132" s="11" t="s">
        <v>82</v>
      </c>
      <c r="D132" s="11" t="s">
        <v>185</v>
      </c>
      <c r="E132" s="11" t="n">
        <v>20</v>
      </c>
    </row>
    <row r="133" customFormat="false" ht="15" hidden="false" customHeight="true" outlineLevel="0" collapsed="false">
      <c r="A133" s="10" t="s">
        <v>184</v>
      </c>
      <c r="B133" s="10" t="s">
        <v>188</v>
      </c>
      <c r="C133" s="10" t="s">
        <v>82</v>
      </c>
      <c r="D133" s="10" t="s">
        <v>185</v>
      </c>
      <c r="E133" s="10" t="n">
        <v>29</v>
      </c>
    </row>
    <row r="134" customFormat="false" ht="15" hidden="false" customHeight="true" outlineLevel="0" collapsed="false">
      <c r="A134" s="11" t="s">
        <v>184</v>
      </c>
      <c r="B134" s="11" t="s">
        <v>189</v>
      </c>
      <c r="C134" s="11" t="s">
        <v>82</v>
      </c>
      <c r="D134" s="11" t="s">
        <v>185</v>
      </c>
      <c r="E134" s="11" t="n">
        <v>25</v>
      </c>
    </row>
    <row r="135" customFormat="false" ht="15" hidden="false" customHeight="true" outlineLevel="0" collapsed="false">
      <c r="A135" s="10" t="s">
        <v>184</v>
      </c>
      <c r="B135" s="10" t="s">
        <v>120</v>
      </c>
      <c r="C135" s="10" t="s">
        <v>82</v>
      </c>
      <c r="D135" s="10" t="s">
        <v>185</v>
      </c>
      <c r="E135" s="10" t="n">
        <v>15</v>
      </c>
    </row>
    <row r="136" customFormat="false" ht="15" hidden="false" customHeight="true" outlineLevel="0" collapsed="false">
      <c r="A136" s="11" t="s">
        <v>184</v>
      </c>
      <c r="B136" s="11" t="s">
        <v>123</v>
      </c>
      <c r="C136" s="11" t="s">
        <v>82</v>
      </c>
      <c r="D136" s="11" t="s">
        <v>185</v>
      </c>
      <c r="E136" s="11" t="n">
        <v>27</v>
      </c>
    </row>
    <row r="137" customFormat="false" ht="15" hidden="false" customHeight="true" outlineLevel="0" collapsed="false">
      <c r="A137" s="10" t="s">
        <v>184</v>
      </c>
      <c r="B137" s="10" t="s">
        <v>124</v>
      </c>
      <c r="C137" s="10" t="s">
        <v>82</v>
      </c>
      <c r="D137" s="10" t="s">
        <v>185</v>
      </c>
      <c r="E137" s="10" t="n">
        <v>27</v>
      </c>
    </row>
    <row r="138" customFormat="false" ht="15" hidden="false" customHeight="true" outlineLevel="0" collapsed="false">
      <c r="A138" s="11" t="s">
        <v>184</v>
      </c>
      <c r="B138" s="11" t="s">
        <v>125</v>
      </c>
      <c r="C138" s="11" t="s">
        <v>82</v>
      </c>
      <c r="D138" s="11" t="s">
        <v>185</v>
      </c>
      <c r="E138" s="11" t="n">
        <v>19</v>
      </c>
    </row>
    <row r="139" customFormat="false" ht="15" hidden="false" customHeight="true" outlineLevel="0" collapsed="false">
      <c r="A139" s="10" t="s">
        <v>184</v>
      </c>
      <c r="B139" s="10" t="s">
        <v>126</v>
      </c>
      <c r="C139" s="10" t="s">
        <v>82</v>
      </c>
      <c r="D139" s="10" t="s">
        <v>185</v>
      </c>
      <c r="E139" s="10"/>
    </row>
    <row r="140" customFormat="false" ht="15" hidden="false" customHeight="true" outlineLevel="0" collapsed="false">
      <c r="A140" s="11" t="s">
        <v>184</v>
      </c>
      <c r="B140" s="11" t="s">
        <v>190</v>
      </c>
      <c r="C140" s="11" t="s">
        <v>82</v>
      </c>
      <c r="D140" s="11" t="s">
        <v>185</v>
      </c>
      <c r="E140" s="11"/>
    </row>
    <row r="141" customFormat="false" ht="15" hidden="false" customHeight="true" outlineLevel="0" collapsed="false">
      <c r="A141" s="10" t="s">
        <v>184</v>
      </c>
      <c r="B141" s="10" t="s">
        <v>131</v>
      </c>
      <c r="C141" s="10" t="s">
        <v>82</v>
      </c>
      <c r="D141" s="10" t="s">
        <v>185</v>
      </c>
      <c r="E141" s="10" t="n">
        <v>25</v>
      </c>
    </row>
    <row r="142" customFormat="false" ht="15" hidden="false" customHeight="true" outlineLevel="0" collapsed="false">
      <c r="A142" s="11" t="s">
        <v>184</v>
      </c>
      <c r="B142" s="11" t="s">
        <v>172</v>
      </c>
      <c r="C142" s="11" t="s">
        <v>82</v>
      </c>
      <c r="D142" s="11" t="s">
        <v>185</v>
      </c>
      <c r="E142" s="11" t="n">
        <v>15</v>
      </c>
    </row>
    <row r="143" customFormat="false" ht="15" hidden="false" customHeight="true" outlineLevel="0" collapsed="false">
      <c r="A143" s="10" t="s">
        <v>184</v>
      </c>
      <c r="B143" s="10" t="s">
        <v>173</v>
      </c>
      <c r="C143" s="10" t="s">
        <v>82</v>
      </c>
      <c r="D143" s="10" t="s">
        <v>185</v>
      </c>
      <c r="E143" s="10" t="n">
        <v>30</v>
      </c>
    </row>
    <row r="144" customFormat="false" ht="15" hidden="false" customHeight="true" outlineLevel="0" collapsed="false">
      <c r="A144" s="11" t="s">
        <v>184</v>
      </c>
      <c r="B144" s="11" t="s">
        <v>121</v>
      </c>
      <c r="C144" s="11" t="s">
        <v>82</v>
      </c>
      <c r="D144" s="11" t="s">
        <v>185</v>
      </c>
      <c r="E144" s="11"/>
    </row>
    <row r="145" customFormat="false" ht="15" hidden="false" customHeight="true" outlineLevel="0" collapsed="false">
      <c r="A145" s="10" t="s">
        <v>184</v>
      </c>
      <c r="B145" s="10" t="s">
        <v>155</v>
      </c>
      <c r="C145" s="10" t="s">
        <v>135</v>
      </c>
      <c r="D145" s="10" t="s">
        <v>185</v>
      </c>
      <c r="E145" s="10" t="n">
        <v>27</v>
      </c>
    </row>
    <row r="146" customFormat="false" ht="15" hidden="false" customHeight="true" outlineLevel="0" collapsed="false">
      <c r="A146" s="11" t="s">
        <v>184</v>
      </c>
      <c r="B146" s="11" t="s">
        <v>156</v>
      </c>
      <c r="C146" s="11" t="s">
        <v>135</v>
      </c>
      <c r="D146" s="11" t="s">
        <v>185</v>
      </c>
      <c r="E146" s="11" t="n">
        <v>28</v>
      </c>
    </row>
    <row r="147" customFormat="false" ht="15" hidden="false" customHeight="true" outlineLevel="0" collapsed="false">
      <c r="A147" s="10" t="s">
        <v>184</v>
      </c>
      <c r="B147" s="10" t="s">
        <v>191</v>
      </c>
      <c r="C147" s="10" t="s">
        <v>135</v>
      </c>
      <c r="D147" s="10" t="s">
        <v>185</v>
      </c>
      <c r="E147" s="10" t="n">
        <v>27</v>
      </c>
    </row>
    <row r="148" customFormat="false" ht="15" hidden="false" customHeight="true" outlineLevel="0" collapsed="false">
      <c r="A148" s="11" t="s">
        <v>184</v>
      </c>
      <c r="B148" s="11" t="s">
        <v>192</v>
      </c>
      <c r="C148" s="11" t="s">
        <v>135</v>
      </c>
      <c r="D148" s="11" t="s">
        <v>185</v>
      </c>
      <c r="E148" s="11" t="n">
        <v>25</v>
      </c>
    </row>
    <row r="149" customFormat="false" ht="15" hidden="false" customHeight="true" outlineLevel="0" collapsed="false">
      <c r="A149" s="10" t="s">
        <v>184</v>
      </c>
      <c r="B149" s="10" t="s">
        <v>151</v>
      </c>
      <c r="C149" s="10" t="s">
        <v>135</v>
      </c>
      <c r="D149" s="10" t="s">
        <v>185</v>
      </c>
      <c r="E149" s="10" t="n">
        <v>8</v>
      </c>
    </row>
    <row r="150" customFormat="false" ht="15" hidden="false" customHeight="true" outlineLevel="0" collapsed="false">
      <c r="A150" s="11" t="s">
        <v>184</v>
      </c>
      <c r="B150" s="11" t="s">
        <v>140</v>
      </c>
      <c r="C150" s="11" t="s">
        <v>135</v>
      </c>
      <c r="D150" s="11" t="s">
        <v>185</v>
      </c>
      <c r="E150" s="11" t="n">
        <v>8</v>
      </c>
    </row>
    <row r="151" customFormat="false" ht="15" hidden="false" customHeight="true" outlineLevel="0" collapsed="false">
      <c r="A151" s="10" t="s">
        <v>184</v>
      </c>
      <c r="B151" s="10" t="s">
        <v>147</v>
      </c>
      <c r="C151" s="10" t="s">
        <v>148</v>
      </c>
      <c r="D151" s="10" t="s">
        <v>185</v>
      </c>
      <c r="E151" s="10" t="n">
        <v>6</v>
      </c>
    </row>
    <row r="152" customFormat="false" ht="15" hidden="false" customHeight="true" outlineLevel="0" collapsed="false">
      <c r="A152" s="11" t="s">
        <v>184</v>
      </c>
      <c r="B152" s="11" t="s">
        <v>193</v>
      </c>
      <c r="C152" s="11" t="s">
        <v>148</v>
      </c>
      <c r="D152" s="11" t="s">
        <v>185</v>
      </c>
      <c r="E152" s="11" t="n">
        <v>16</v>
      </c>
    </row>
    <row r="153" customFormat="false" ht="15" hidden="false" customHeight="true" outlineLevel="0" collapsed="false">
      <c r="A153" s="10" t="s">
        <v>184</v>
      </c>
      <c r="B153" s="10" t="s">
        <v>194</v>
      </c>
      <c r="C153" s="10" t="s">
        <v>148</v>
      </c>
      <c r="D153" s="10" t="s">
        <v>185</v>
      </c>
      <c r="E153" s="10" t="n">
        <v>6</v>
      </c>
    </row>
    <row r="154" customFormat="false" ht="15" hidden="false" customHeight="true" outlineLevel="0" collapsed="false">
      <c r="A154" s="11" t="s">
        <v>184</v>
      </c>
      <c r="B154" s="11" t="s">
        <v>195</v>
      </c>
      <c r="C154" s="11" t="s">
        <v>148</v>
      </c>
      <c r="D154" s="11" t="s">
        <v>185</v>
      </c>
      <c r="E154" s="11" t="n">
        <v>6</v>
      </c>
    </row>
    <row r="155" customFormat="false" ht="15" hidden="false" customHeight="true" outlineLevel="0" collapsed="false">
      <c r="A155" s="10" t="s">
        <v>184</v>
      </c>
      <c r="B155" s="10" t="s">
        <v>196</v>
      </c>
      <c r="C155" s="10" t="s">
        <v>148</v>
      </c>
      <c r="D155" s="10" t="s">
        <v>185</v>
      </c>
      <c r="E155" s="10" t="n">
        <v>6</v>
      </c>
    </row>
    <row r="156" customFormat="false" ht="15" hidden="false" customHeight="true" outlineLevel="0" collapsed="false">
      <c r="A156" s="11" t="s">
        <v>184</v>
      </c>
      <c r="B156" s="11" t="s">
        <v>197</v>
      </c>
      <c r="C156" s="11" t="s">
        <v>148</v>
      </c>
      <c r="D156" s="11" t="s">
        <v>185</v>
      </c>
      <c r="E156" s="11" t="n">
        <v>6</v>
      </c>
    </row>
    <row r="157" customFormat="false" ht="15" hidden="false" customHeight="true" outlineLevel="0" collapsed="false">
      <c r="A157" s="10" t="s">
        <v>184</v>
      </c>
      <c r="B157" s="10" t="s">
        <v>198</v>
      </c>
      <c r="C157" s="10" t="s">
        <v>148</v>
      </c>
      <c r="D157" s="10" t="s">
        <v>185</v>
      </c>
      <c r="E157" s="10" t="n">
        <v>14</v>
      </c>
    </row>
    <row r="158" customFormat="false" ht="15" hidden="false" customHeight="true" outlineLevel="0" collapsed="false">
      <c r="A158" s="11" t="s">
        <v>184</v>
      </c>
      <c r="B158" s="11" t="s">
        <v>199</v>
      </c>
      <c r="C158" s="11" t="s">
        <v>148</v>
      </c>
      <c r="D158" s="11" t="s">
        <v>185</v>
      </c>
      <c r="E158" s="11" t="n">
        <v>32</v>
      </c>
    </row>
    <row r="159" customFormat="false" ht="15" hidden="false" customHeight="true" outlineLevel="0" collapsed="false">
      <c r="A159" s="10" t="s">
        <v>184</v>
      </c>
      <c r="B159" s="10" t="s">
        <v>200</v>
      </c>
      <c r="C159" s="10" t="s">
        <v>148</v>
      </c>
      <c r="D159" s="10" t="s">
        <v>185</v>
      </c>
      <c r="E159" s="10" t="n">
        <v>6</v>
      </c>
    </row>
    <row r="160" customFormat="false" ht="15" hidden="false" customHeight="true" outlineLevel="0" collapsed="false">
      <c r="A160" s="11" t="s">
        <v>184</v>
      </c>
      <c r="B160" s="11" t="s">
        <v>201</v>
      </c>
      <c r="C160" s="11" t="s">
        <v>148</v>
      </c>
      <c r="D160" s="11" t="s">
        <v>185</v>
      </c>
      <c r="E160" s="11" t="n">
        <v>6</v>
      </c>
    </row>
    <row r="161" customFormat="false" ht="15" hidden="false" customHeight="true" outlineLevel="0" collapsed="false">
      <c r="A161" s="10" t="s">
        <v>184</v>
      </c>
      <c r="B161" s="10" t="s">
        <v>202</v>
      </c>
      <c r="C161" s="10" t="s">
        <v>148</v>
      </c>
      <c r="D161" s="10" t="s">
        <v>185</v>
      </c>
      <c r="E161" s="10" t="n">
        <v>6</v>
      </c>
    </row>
    <row r="162" customFormat="false" ht="15" hidden="false" customHeight="true" outlineLevel="0" collapsed="false">
      <c r="A162" s="11" t="s">
        <v>184</v>
      </c>
      <c r="B162" s="11" t="s">
        <v>203</v>
      </c>
      <c r="C162" s="11" t="s">
        <v>148</v>
      </c>
      <c r="D162" s="11" t="s">
        <v>185</v>
      </c>
      <c r="E162" s="11" t="n">
        <v>6</v>
      </c>
    </row>
    <row r="163" customFormat="false" ht="15" hidden="false" customHeight="true" outlineLevel="0" collapsed="false">
      <c r="A163" s="10" t="s">
        <v>184</v>
      </c>
      <c r="B163" s="10" t="s">
        <v>204</v>
      </c>
      <c r="C163" s="10" t="s">
        <v>148</v>
      </c>
      <c r="D163" s="10" t="s">
        <v>185</v>
      </c>
      <c r="E163" s="10" t="n">
        <v>6</v>
      </c>
    </row>
    <row r="164" customFormat="false" ht="15" hidden="false" customHeight="true" outlineLevel="0" collapsed="false">
      <c r="A164" s="11" t="s">
        <v>184</v>
      </c>
      <c r="B164" s="11" t="s">
        <v>205</v>
      </c>
      <c r="C164" s="11" t="s">
        <v>148</v>
      </c>
      <c r="D164" s="11" t="s">
        <v>185</v>
      </c>
      <c r="E164" s="11" t="n">
        <v>6</v>
      </c>
    </row>
    <row r="165" customFormat="false" ht="15" hidden="false" customHeight="true" outlineLevel="0" collapsed="false">
      <c r="A165" s="10" t="s">
        <v>184</v>
      </c>
      <c r="B165" s="10" t="s">
        <v>206</v>
      </c>
      <c r="C165" s="10" t="s">
        <v>148</v>
      </c>
      <c r="D165" s="10" t="s">
        <v>185</v>
      </c>
      <c r="E165" s="10" t="n">
        <v>0</v>
      </c>
    </row>
    <row r="166" customFormat="false" ht="15" hidden="false" customHeight="true" outlineLevel="0" collapsed="false">
      <c r="A166" s="11" t="s">
        <v>184</v>
      </c>
      <c r="B166" s="11" t="s">
        <v>207</v>
      </c>
      <c r="C166" s="11" t="s">
        <v>148</v>
      </c>
      <c r="D166" s="11" t="s">
        <v>185</v>
      </c>
      <c r="E166" s="11" t="n">
        <v>6</v>
      </c>
    </row>
    <row r="167" customFormat="false" ht="15" hidden="false" customHeight="true" outlineLevel="0" collapsed="false">
      <c r="A167" s="10" t="s">
        <v>184</v>
      </c>
      <c r="B167" s="10" t="s">
        <v>208</v>
      </c>
      <c r="C167" s="10" t="s">
        <v>148</v>
      </c>
      <c r="D167" s="10" t="s">
        <v>185</v>
      </c>
      <c r="E167" s="10" t="n">
        <v>6</v>
      </c>
    </row>
    <row r="168" customFormat="false" ht="15" hidden="false" customHeight="true" outlineLevel="0" collapsed="false">
      <c r="A168" s="11" t="s">
        <v>184</v>
      </c>
      <c r="B168" s="11" t="s">
        <v>209</v>
      </c>
      <c r="C168" s="11" t="s">
        <v>148</v>
      </c>
      <c r="D168" s="11" t="s">
        <v>185</v>
      </c>
      <c r="E168" s="1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42"/>
    <col collapsed="false" customWidth="true" hidden="false" outlineLevel="0" max="4" min="4" style="1" width="18"/>
    <col collapsed="false" customWidth="true" hidden="false" outlineLevel="0" max="5" min="5" style="1" width="12"/>
    <col collapsed="false" customWidth="true" hidden="false" outlineLevel="0" max="6" min="6" style="1" width="76"/>
  </cols>
  <sheetData>
    <row r="1" customFormat="false" ht="17.25" hidden="false" customHeight="true" outlineLevel="0" collapsed="false">
      <c r="A1" s="2" t="s">
        <v>210</v>
      </c>
    </row>
    <row r="2" customFormat="false" ht="15" hidden="false" customHeight="true" outlineLevel="0" collapsed="false">
      <c r="A2" s="3" t="s">
        <v>211</v>
      </c>
    </row>
    <row r="4" customFormat="false" ht="27.75" hidden="false" customHeight="true" outlineLevel="0" collapsed="false">
      <c r="A4" s="9" t="s">
        <v>76</v>
      </c>
      <c r="B4" s="9" t="s">
        <v>212</v>
      </c>
      <c r="C4" s="9" t="s">
        <v>213</v>
      </c>
      <c r="D4" s="9" t="s">
        <v>214</v>
      </c>
      <c r="E4" s="9" t="s">
        <v>34</v>
      </c>
      <c r="F4" s="9" t="s">
        <v>37</v>
      </c>
    </row>
    <row r="5" customFormat="false" ht="15" hidden="false" customHeight="true" outlineLevel="0" collapsed="false">
      <c r="A5" s="10" t="s">
        <v>80</v>
      </c>
      <c r="B5" s="10" t="s">
        <v>215</v>
      </c>
      <c r="C5" s="10" t="s">
        <v>216</v>
      </c>
      <c r="D5" s="10" t="s">
        <v>217</v>
      </c>
      <c r="E5" s="10" t="s">
        <v>218</v>
      </c>
      <c r="F5" s="10" t="s">
        <v>219</v>
      </c>
    </row>
    <row r="6" customFormat="false" ht="15" hidden="false" customHeight="true" outlineLevel="0" collapsed="false">
      <c r="A6" s="11" t="s">
        <v>80</v>
      </c>
      <c r="B6" s="11" t="s">
        <v>220</v>
      </c>
      <c r="C6" s="11" t="s">
        <v>221</v>
      </c>
      <c r="D6" s="11" t="s">
        <v>222</v>
      </c>
      <c r="E6" s="11" t="s">
        <v>218</v>
      </c>
      <c r="F6" s="11" t="s">
        <v>223</v>
      </c>
    </row>
    <row r="7" customFormat="false" ht="15" hidden="false" customHeight="true" outlineLevel="0" collapsed="false">
      <c r="A7" s="10" t="s">
        <v>80</v>
      </c>
      <c r="B7" s="10" t="s">
        <v>224</v>
      </c>
      <c r="C7" s="10" t="s">
        <v>225</v>
      </c>
      <c r="D7" s="10" t="s">
        <v>226</v>
      </c>
      <c r="E7" s="10" t="s">
        <v>218</v>
      </c>
      <c r="F7" s="10" t="s">
        <v>227</v>
      </c>
    </row>
    <row r="8" customFormat="false" ht="15" hidden="false" customHeight="true" outlineLevel="0" collapsed="false">
      <c r="A8" s="11" t="s">
        <v>80</v>
      </c>
      <c r="B8" s="11" t="s">
        <v>228</v>
      </c>
      <c r="C8" s="11" t="s">
        <v>229</v>
      </c>
      <c r="D8" s="11" t="s">
        <v>226</v>
      </c>
      <c r="E8" s="11" t="s">
        <v>218</v>
      </c>
      <c r="F8" s="11"/>
    </row>
    <row r="9" customFormat="false" ht="15" hidden="false" customHeight="true" outlineLevel="0" collapsed="false">
      <c r="A9" s="10" t="s">
        <v>80</v>
      </c>
      <c r="B9" s="10" t="s">
        <v>230</v>
      </c>
      <c r="C9" s="10" t="s">
        <v>231</v>
      </c>
      <c r="D9" s="10" t="s">
        <v>226</v>
      </c>
      <c r="E9" s="10" t="s">
        <v>218</v>
      </c>
      <c r="F9" s="10"/>
    </row>
    <row r="10" customFormat="false" ht="15" hidden="false" customHeight="true" outlineLevel="0" collapsed="false">
      <c r="A10" s="11" t="s">
        <v>80</v>
      </c>
      <c r="B10" s="11" t="s">
        <v>232</v>
      </c>
      <c r="C10" s="11" t="s">
        <v>233</v>
      </c>
      <c r="D10" s="11" t="s">
        <v>226</v>
      </c>
      <c r="E10" s="11" t="s">
        <v>218</v>
      </c>
      <c r="F10" s="11"/>
    </row>
    <row r="11" customFormat="false" ht="15" hidden="false" customHeight="true" outlineLevel="0" collapsed="false">
      <c r="A11" s="10" t="s">
        <v>80</v>
      </c>
      <c r="B11" s="10" t="s">
        <v>234</v>
      </c>
      <c r="C11" s="10" t="s">
        <v>235</v>
      </c>
      <c r="D11" s="10" t="s">
        <v>226</v>
      </c>
      <c r="E11" s="10" t="s">
        <v>218</v>
      </c>
      <c r="F11" s="10"/>
    </row>
    <row r="12" customFormat="false" ht="15" hidden="false" customHeight="true" outlineLevel="0" collapsed="false">
      <c r="A12" s="11" t="s">
        <v>80</v>
      </c>
      <c r="B12" s="11" t="s">
        <v>236</v>
      </c>
      <c r="C12" s="11" t="s">
        <v>237</v>
      </c>
      <c r="D12" s="11" t="s">
        <v>226</v>
      </c>
      <c r="E12" s="11" t="s">
        <v>218</v>
      </c>
      <c r="F12" s="11"/>
    </row>
    <row r="13" customFormat="false" ht="15" hidden="false" customHeight="true" outlineLevel="0" collapsed="false">
      <c r="A13" s="10" t="s">
        <v>80</v>
      </c>
      <c r="B13" s="10" t="s">
        <v>238</v>
      </c>
      <c r="C13" s="10" t="s">
        <v>239</v>
      </c>
      <c r="D13" s="10" t="s">
        <v>240</v>
      </c>
      <c r="E13" s="10" t="s">
        <v>218</v>
      </c>
      <c r="F13" s="10" t="s">
        <v>241</v>
      </c>
    </row>
    <row r="14" customFormat="false" ht="23.25" hidden="false" customHeight="true" outlineLevel="0" collapsed="false">
      <c r="A14" s="11" t="s">
        <v>80</v>
      </c>
      <c r="B14" s="11" t="s">
        <v>242</v>
      </c>
      <c r="C14" s="11" t="s">
        <v>243</v>
      </c>
      <c r="D14" s="11" t="s">
        <v>244</v>
      </c>
      <c r="E14" s="11" t="s">
        <v>218</v>
      </c>
      <c r="F14" s="11" t="s">
        <v>245</v>
      </c>
    </row>
    <row r="15" customFormat="false" ht="15" hidden="false" customHeight="true" outlineLevel="0" collapsed="false">
      <c r="A15" s="10" t="s">
        <v>80</v>
      </c>
      <c r="B15" s="10" t="s">
        <v>246</v>
      </c>
      <c r="C15" s="10" t="s">
        <v>247</v>
      </c>
      <c r="D15" s="10" t="s">
        <v>226</v>
      </c>
      <c r="E15" s="10" t="s">
        <v>218</v>
      </c>
      <c r="F15" s="10" t="s">
        <v>248</v>
      </c>
    </row>
    <row r="16" customFormat="false" ht="15" hidden="false" customHeight="true" outlineLevel="0" collapsed="false">
      <c r="A16" s="11" t="s">
        <v>80</v>
      </c>
      <c r="B16" s="11" t="s">
        <v>249</v>
      </c>
      <c r="C16" s="11" t="s">
        <v>250</v>
      </c>
      <c r="D16" s="11" t="s">
        <v>251</v>
      </c>
      <c r="E16" s="11" t="s">
        <v>218</v>
      </c>
      <c r="F16" s="11" t="s">
        <v>252</v>
      </c>
    </row>
    <row r="17" customFormat="false" ht="23.25" hidden="false" customHeight="true" outlineLevel="0" collapsed="false">
      <c r="A17" s="10" t="s">
        <v>80</v>
      </c>
      <c r="B17" s="10" t="s">
        <v>253</v>
      </c>
      <c r="C17" s="10" t="s">
        <v>254</v>
      </c>
      <c r="D17" s="10" t="s">
        <v>251</v>
      </c>
      <c r="E17" s="10" t="s">
        <v>218</v>
      </c>
      <c r="F17" s="10" t="s">
        <v>255</v>
      </c>
    </row>
    <row r="18" customFormat="false" ht="15" hidden="false" customHeight="true" outlineLevel="0" collapsed="false">
      <c r="A18" s="11" t="s">
        <v>80</v>
      </c>
      <c r="B18" s="11" t="s">
        <v>256</v>
      </c>
      <c r="C18" s="11" t="s">
        <v>257</v>
      </c>
      <c r="D18" s="11" t="s">
        <v>258</v>
      </c>
      <c r="E18" s="11" t="s">
        <v>218</v>
      </c>
      <c r="F18" s="11" t="s">
        <v>259</v>
      </c>
    </row>
    <row r="19" customFormat="false" ht="15" hidden="false" customHeight="true" outlineLevel="0" collapsed="false">
      <c r="A19" s="10" t="s">
        <v>80</v>
      </c>
      <c r="B19" s="10" t="s">
        <v>260</v>
      </c>
      <c r="C19" s="10" t="s">
        <v>261</v>
      </c>
      <c r="D19" s="10" t="s">
        <v>258</v>
      </c>
      <c r="E19" s="10" t="s">
        <v>218</v>
      </c>
      <c r="F19" s="10"/>
    </row>
    <row r="20" customFormat="false" ht="15" hidden="false" customHeight="true" outlineLevel="0" collapsed="false">
      <c r="A20" s="11" t="s">
        <v>80</v>
      </c>
      <c r="B20" s="11" t="s">
        <v>262</v>
      </c>
      <c r="C20" s="11" t="s">
        <v>263</v>
      </c>
      <c r="D20" s="11" t="s">
        <v>251</v>
      </c>
      <c r="E20" s="11" t="s">
        <v>218</v>
      </c>
      <c r="F20" s="11"/>
    </row>
    <row r="21" customFormat="false" ht="15" hidden="false" customHeight="true" outlineLevel="0" collapsed="false">
      <c r="A21" s="10" t="s">
        <v>80</v>
      </c>
      <c r="B21" s="10" t="s">
        <v>264</v>
      </c>
      <c r="C21" s="10" t="s">
        <v>265</v>
      </c>
      <c r="D21" s="10" t="s">
        <v>251</v>
      </c>
      <c r="E21" s="10" t="s">
        <v>218</v>
      </c>
      <c r="F21" s="10"/>
    </row>
    <row r="22" customFormat="false" ht="23.25" hidden="false" customHeight="true" outlineLevel="0" collapsed="false">
      <c r="A22" s="11" t="s">
        <v>80</v>
      </c>
      <c r="B22" s="11" t="s">
        <v>266</v>
      </c>
      <c r="C22" s="11" t="s">
        <v>267</v>
      </c>
      <c r="D22" s="11" t="s">
        <v>268</v>
      </c>
      <c r="E22" s="11" t="s">
        <v>218</v>
      </c>
      <c r="F22" s="11" t="s">
        <v>269</v>
      </c>
    </row>
    <row r="23" customFormat="false" ht="15" hidden="false" customHeight="true" outlineLevel="0" collapsed="false">
      <c r="A23" s="10" t="s">
        <v>80</v>
      </c>
      <c r="B23" s="10" t="s">
        <v>270</v>
      </c>
      <c r="C23" s="10" t="s">
        <v>271</v>
      </c>
      <c r="D23" s="10" t="s">
        <v>272</v>
      </c>
      <c r="E23" s="10" t="s">
        <v>218</v>
      </c>
      <c r="F23" s="10" t="s">
        <v>273</v>
      </c>
    </row>
    <row r="24" customFormat="false" ht="23.25" hidden="false" customHeight="true" outlineLevel="0" collapsed="false">
      <c r="A24" s="11" t="s">
        <v>80</v>
      </c>
      <c r="B24" s="11" t="s">
        <v>274</v>
      </c>
      <c r="C24" s="11" t="s">
        <v>243</v>
      </c>
      <c r="D24" s="11" t="s">
        <v>275</v>
      </c>
      <c r="E24" s="11" t="s">
        <v>276</v>
      </c>
      <c r="F24" s="11" t="s">
        <v>277</v>
      </c>
    </row>
    <row r="25" customFormat="false" ht="15" hidden="false" customHeight="true" outlineLevel="0" collapsed="false">
      <c r="A25" s="10" t="s">
        <v>150</v>
      </c>
      <c r="B25" s="10" t="s">
        <v>278</v>
      </c>
      <c r="C25" s="10" t="s">
        <v>216</v>
      </c>
      <c r="D25" s="10" t="s">
        <v>217</v>
      </c>
      <c r="E25" s="10" t="s">
        <v>279</v>
      </c>
      <c r="F25" s="10" t="s">
        <v>280</v>
      </c>
    </row>
    <row r="26" customFormat="false" ht="15" hidden="false" customHeight="true" outlineLevel="0" collapsed="false">
      <c r="A26" s="11" t="s">
        <v>150</v>
      </c>
      <c r="B26" s="11" t="s">
        <v>281</v>
      </c>
      <c r="C26" s="11" t="s">
        <v>282</v>
      </c>
      <c r="D26" s="11" t="s">
        <v>258</v>
      </c>
      <c r="E26" s="11" t="s">
        <v>218</v>
      </c>
      <c r="F26" s="11" t="s">
        <v>283</v>
      </c>
    </row>
    <row r="27" customFormat="false" ht="15" hidden="false" customHeight="true" outlineLevel="0" collapsed="false">
      <c r="A27" s="10" t="s">
        <v>150</v>
      </c>
      <c r="B27" s="10" t="s">
        <v>284</v>
      </c>
      <c r="C27" s="10" t="s">
        <v>285</v>
      </c>
      <c r="D27" s="10" t="s">
        <v>251</v>
      </c>
      <c r="E27" s="10" t="s">
        <v>218</v>
      </c>
      <c r="F27" s="10" t="s">
        <v>286</v>
      </c>
    </row>
    <row r="28" customFormat="false" ht="15" hidden="false" customHeight="true" outlineLevel="0" collapsed="false">
      <c r="A28" s="11" t="s">
        <v>150</v>
      </c>
      <c r="B28" s="11" t="s">
        <v>287</v>
      </c>
      <c r="C28" s="11" t="s">
        <v>288</v>
      </c>
      <c r="D28" s="11" t="s">
        <v>251</v>
      </c>
      <c r="E28" s="11" t="s">
        <v>218</v>
      </c>
      <c r="F28" s="11" t="s">
        <v>289</v>
      </c>
    </row>
    <row r="29" customFormat="false" ht="15" hidden="false" customHeight="true" outlineLevel="0" collapsed="false">
      <c r="A29" s="10" t="s">
        <v>150</v>
      </c>
      <c r="B29" s="10" t="s">
        <v>290</v>
      </c>
      <c r="C29" s="10" t="s">
        <v>291</v>
      </c>
      <c r="D29" s="10" t="s">
        <v>292</v>
      </c>
      <c r="E29" s="10" t="s">
        <v>218</v>
      </c>
      <c r="F29" s="10" t="s">
        <v>293</v>
      </c>
    </row>
    <row r="30" customFormat="false" ht="15" hidden="false" customHeight="true" outlineLevel="0" collapsed="false">
      <c r="A30" s="11" t="s">
        <v>150</v>
      </c>
      <c r="B30" s="11" t="s">
        <v>294</v>
      </c>
      <c r="C30" s="11" t="s">
        <v>295</v>
      </c>
      <c r="D30" s="11" t="s">
        <v>251</v>
      </c>
      <c r="E30" s="11" t="s">
        <v>218</v>
      </c>
      <c r="F30" s="11" t="s">
        <v>296</v>
      </c>
    </row>
    <row r="31" customFormat="false" ht="23.25" hidden="false" customHeight="true" outlineLevel="0" collapsed="false">
      <c r="A31" s="10" t="s">
        <v>150</v>
      </c>
      <c r="B31" s="10" t="s">
        <v>297</v>
      </c>
      <c r="C31" s="10" t="s">
        <v>298</v>
      </c>
      <c r="D31" s="10" t="s">
        <v>268</v>
      </c>
      <c r="E31" s="10" t="s">
        <v>218</v>
      </c>
      <c r="F31" s="10" t="s">
        <v>299</v>
      </c>
    </row>
    <row r="32" customFormat="false" ht="15" hidden="false" customHeight="true" outlineLevel="0" collapsed="false">
      <c r="A32" s="11" t="s">
        <v>150</v>
      </c>
      <c r="B32" s="11" t="s">
        <v>300</v>
      </c>
      <c r="C32" s="11" t="s">
        <v>301</v>
      </c>
      <c r="D32" s="11" t="s">
        <v>302</v>
      </c>
      <c r="E32" s="11" t="s">
        <v>303</v>
      </c>
      <c r="F32" s="11" t="s">
        <v>304</v>
      </c>
    </row>
    <row r="33" customFormat="false" ht="15" hidden="false" customHeight="true" outlineLevel="0" collapsed="false">
      <c r="A33" s="10" t="s">
        <v>150</v>
      </c>
      <c r="B33" s="10" t="s">
        <v>305</v>
      </c>
      <c r="C33" s="10" t="s">
        <v>306</v>
      </c>
      <c r="D33" s="10" t="s">
        <v>302</v>
      </c>
      <c r="E33" s="10" t="s">
        <v>303</v>
      </c>
      <c r="F33" s="10" t="s">
        <v>304</v>
      </c>
    </row>
    <row r="34" customFormat="false" ht="15" hidden="false" customHeight="true" outlineLevel="0" collapsed="false">
      <c r="A34" s="11" t="s">
        <v>150</v>
      </c>
      <c r="B34" s="11" t="s">
        <v>307</v>
      </c>
      <c r="C34" s="11" t="s">
        <v>308</v>
      </c>
      <c r="D34" s="11" t="s">
        <v>302</v>
      </c>
      <c r="E34" s="11" t="s">
        <v>303</v>
      </c>
      <c r="F34" s="11" t="s">
        <v>304</v>
      </c>
    </row>
    <row r="35" customFormat="false" ht="15" hidden="false" customHeight="true" outlineLevel="0" collapsed="false">
      <c r="A35" s="10" t="s">
        <v>150</v>
      </c>
      <c r="B35" s="10" t="s">
        <v>309</v>
      </c>
      <c r="C35" s="10" t="s">
        <v>310</v>
      </c>
      <c r="D35" s="10" t="s">
        <v>311</v>
      </c>
      <c r="E35" s="10" t="s">
        <v>303</v>
      </c>
      <c r="F35" s="10" t="s">
        <v>312</v>
      </c>
    </row>
    <row r="36" customFormat="false" ht="23.25" hidden="false" customHeight="true" outlineLevel="0" collapsed="false">
      <c r="A36" s="11" t="s">
        <v>150</v>
      </c>
      <c r="B36" s="11" t="s">
        <v>313</v>
      </c>
      <c r="C36" s="11" t="s">
        <v>314</v>
      </c>
      <c r="D36" s="11" t="s">
        <v>315</v>
      </c>
      <c r="E36" s="11" t="s">
        <v>218</v>
      </c>
      <c r="F36" s="11" t="s">
        <v>316</v>
      </c>
    </row>
    <row r="37" customFormat="false" ht="23.25" hidden="false" customHeight="true" outlineLevel="0" collapsed="false">
      <c r="A37" s="10" t="s">
        <v>150</v>
      </c>
      <c r="B37" s="10" t="s">
        <v>317</v>
      </c>
      <c r="C37" s="10" t="s">
        <v>318</v>
      </c>
      <c r="D37" s="10" t="s">
        <v>315</v>
      </c>
      <c r="E37" s="10" t="s">
        <v>218</v>
      </c>
      <c r="F37" s="10" t="s">
        <v>319</v>
      </c>
    </row>
    <row r="38" customFormat="false" ht="15" hidden="false" customHeight="true" outlineLevel="0" collapsed="false">
      <c r="A38" s="11" t="s">
        <v>150</v>
      </c>
      <c r="B38" s="11" t="s">
        <v>320</v>
      </c>
      <c r="C38" s="11" t="s">
        <v>321</v>
      </c>
      <c r="D38" s="11" t="s">
        <v>322</v>
      </c>
      <c r="E38" s="11" t="s">
        <v>218</v>
      </c>
      <c r="F38" s="11" t="s">
        <v>323</v>
      </c>
    </row>
    <row r="39" customFormat="false" ht="15" hidden="false" customHeight="true" outlineLevel="0" collapsed="false">
      <c r="A39" s="10" t="s">
        <v>150</v>
      </c>
      <c r="B39" s="10" t="s">
        <v>324</v>
      </c>
      <c r="C39" s="10" t="s">
        <v>325</v>
      </c>
      <c r="D39" s="10" t="s">
        <v>326</v>
      </c>
      <c r="E39" s="10" t="s">
        <v>303</v>
      </c>
      <c r="F39" s="10" t="s">
        <v>327</v>
      </c>
    </row>
    <row r="40" customFormat="false" ht="15" hidden="false" customHeight="true" outlineLevel="0" collapsed="false">
      <c r="A40" s="11" t="s">
        <v>150</v>
      </c>
      <c r="B40" s="11" t="s">
        <v>328</v>
      </c>
      <c r="C40" s="11" t="s">
        <v>329</v>
      </c>
      <c r="D40" s="11" t="s">
        <v>330</v>
      </c>
      <c r="E40" s="11" t="s">
        <v>218</v>
      </c>
      <c r="F40" s="11" t="s">
        <v>331</v>
      </c>
    </row>
    <row r="41" customFormat="false" ht="23.25" hidden="false" customHeight="true" outlineLevel="0" collapsed="false">
      <c r="A41" s="10" t="s">
        <v>150</v>
      </c>
      <c r="B41" s="10" t="s">
        <v>332</v>
      </c>
      <c r="C41" s="10" t="s">
        <v>243</v>
      </c>
      <c r="D41" s="10" t="s">
        <v>279</v>
      </c>
      <c r="E41" s="10" t="s">
        <v>333</v>
      </c>
      <c r="F41" s="10" t="s">
        <v>334</v>
      </c>
    </row>
    <row r="42" customFormat="false" ht="15" hidden="false" customHeight="true" outlineLevel="0" collapsed="false">
      <c r="A42" s="11" t="s">
        <v>184</v>
      </c>
      <c r="B42" s="11" t="s">
        <v>335</v>
      </c>
      <c r="C42" s="11" t="s">
        <v>216</v>
      </c>
      <c r="D42" s="11" t="s">
        <v>217</v>
      </c>
      <c r="E42" s="11" t="s">
        <v>218</v>
      </c>
      <c r="F42" s="11" t="s">
        <v>336</v>
      </c>
    </row>
    <row r="43" customFormat="false" ht="23.25" hidden="false" customHeight="true" outlineLevel="0" collapsed="false">
      <c r="A43" s="10" t="s">
        <v>184</v>
      </c>
      <c r="B43" s="10" t="s">
        <v>337</v>
      </c>
      <c r="C43" s="10" t="s">
        <v>338</v>
      </c>
      <c r="D43" s="10" t="s">
        <v>251</v>
      </c>
      <c r="E43" s="10" t="s">
        <v>218</v>
      </c>
      <c r="F43" s="10" t="s">
        <v>339</v>
      </c>
    </row>
    <row r="44" customFormat="false" ht="15" hidden="false" customHeight="true" outlineLevel="0" collapsed="false">
      <c r="A44" s="11" t="s">
        <v>184</v>
      </c>
      <c r="B44" s="11" t="s">
        <v>340</v>
      </c>
      <c r="C44" s="11" t="s">
        <v>341</v>
      </c>
      <c r="D44" s="11" t="s">
        <v>258</v>
      </c>
      <c r="E44" s="11" t="s">
        <v>218</v>
      </c>
      <c r="F44" s="11" t="s">
        <v>342</v>
      </c>
    </row>
    <row r="45" customFormat="false" ht="15" hidden="false" customHeight="true" outlineLevel="0" collapsed="false">
      <c r="A45" s="10" t="s">
        <v>184</v>
      </c>
      <c r="B45" s="10" t="s">
        <v>343</v>
      </c>
      <c r="C45" s="10" t="s">
        <v>344</v>
      </c>
      <c r="D45" s="10" t="s">
        <v>258</v>
      </c>
      <c r="E45" s="10" t="s">
        <v>218</v>
      </c>
      <c r="F45" s="10" t="s">
        <v>345</v>
      </c>
    </row>
    <row r="46" customFormat="false" ht="15" hidden="false" customHeight="true" outlineLevel="0" collapsed="false">
      <c r="A46" s="11" t="s">
        <v>184</v>
      </c>
      <c r="B46" s="11" t="s">
        <v>346</v>
      </c>
      <c r="C46" s="11" t="s">
        <v>347</v>
      </c>
      <c r="D46" s="11" t="s">
        <v>268</v>
      </c>
      <c r="E46" s="11" t="s">
        <v>218</v>
      </c>
      <c r="F46" s="11" t="s">
        <v>348</v>
      </c>
    </row>
    <row r="47" customFormat="false" ht="15" hidden="false" customHeight="true" outlineLevel="0" collapsed="false">
      <c r="A47" s="10" t="s">
        <v>184</v>
      </c>
      <c r="B47" s="10" t="s">
        <v>349</v>
      </c>
      <c r="C47" s="10" t="s">
        <v>350</v>
      </c>
      <c r="D47" s="10" t="s">
        <v>251</v>
      </c>
      <c r="E47" s="10" t="s">
        <v>218</v>
      </c>
      <c r="F47" s="10" t="s">
        <v>351</v>
      </c>
    </row>
    <row r="48" customFormat="false" ht="15" hidden="false" customHeight="true" outlineLevel="0" collapsed="false">
      <c r="A48" s="11" t="s">
        <v>184</v>
      </c>
      <c r="B48" s="11" t="s">
        <v>352</v>
      </c>
      <c r="C48" s="11" t="s">
        <v>353</v>
      </c>
      <c r="D48" s="11" t="s">
        <v>251</v>
      </c>
      <c r="E48" s="11" t="s">
        <v>303</v>
      </c>
      <c r="F48" s="11" t="s">
        <v>354</v>
      </c>
    </row>
    <row r="49" customFormat="false" ht="15" hidden="false" customHeight="true" outlineLevel="0" collapsed="false">
      <c r="A49" s="10" t="s">
        <v>184</v>
      </c>
      <c r="B49" s="10" t="s">
        <v>355</v>
      </c>
      <c r="C49" s="10" t="s">
        <v>356</v>
      </c>
      <c r="D49" s="10" t="s">
        <v>258</v>
      </c>
      <c r="E49" s="10" t="s">
        <v>303</v>
      </c>
      <c r="F49" s="10" t="s">
        <v>354</v>
      </c>
    </row>
    <row r="50" customFormat="false" ht="15" hidden="false" customHeight="true" outlineLevel="0" collapsed="false">
      <c r="A50" s="11" t="s">
        <v>184</v>
      </c>
      <c r="B50" s="11" t="s">
        <v>357</v>
      </c>
      <c r="C50" s="11" t="s">
        <v>358</v>
      </c>
      <c r="D50" s="11" t="s">
        <v>322</v>
      </c>
      <c r="E50" s="11" t="s">
        <v>303</v>
      </c>
      <c r="F50" s="11" t="s">
        <v>359</v>
      </c>
    </row>
    <row r="51" customFormat="false" ht="15" hidden="false" customHeight="true" outlineLevel="0" collapsed="false">
      <c r="A51" s="10" t="s">
        <v>184</v>
      </c>
      <c r="B51" s="10" t="s">
        <v>324</v>
      </c>
      <c r="C51" s="10" t="s">
        <v>360</v>
      </c>
      <c r="D51" s="10" t="s">
        <v>326</v>
      </c>
      <c r="E51" s="10" t="s">
        <v>303</v>
      </c>
      <c r="F51" s="10" t="s">
        <v>359</v>
      </c>
    </row>
    <row r="52" customFormat="false" ht="15" hidden="false" customHeight="true" outlineLevel="0" collapsed="false">
      <c r="A52" s="11" t="s">
        <v>184</v>
      </c>
      <c r="B52" s="11" t="s">
        <v>361</v>
      </c>
      <c r="C52" s="11" t="s">
        <v>362</v>
      </c>
      <c r="D52" s="11" t="s">
        <v>363</v>
      </c>
      <c r="E52" s="11" t="s">
        <v>303</v>
      </c>
      <c r="F52" s="11" t="s">
        <v>364</v>
      </c>
    </row>
    <row r="53" customFormat="false" ht="15" hidden="false" customHeight="true" outlineLevel="0" collapsed="false">
      <c r="A53" s="10" t="s">
        <v>184</v>
      </c>
      <c r="B53" s="10" t="s">
        <v>365</v>
      </c>
      <c r="C53" s="10" t="s">
        <v>366</v>
      </c>
      <c r="D53" s="10" t="s">
        <v>226</v>
      </c>
      <c r="E53" s="10" t="s">
        <v>367</v>
      </c>
      <c r="F53" s="10"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3" min="3" style="1" width="38"/>
    <col collapsed="false" customWidth="true" hidden="false" outlineLevel="0" max="4" min="4" style="1" width="11"/>
    <col collapsed="false" customWidth="true" hidden="false" outlineLevel="0" max="5" min="5" style="1" width="74"/>
    <col collapsed="false" customWidth="true" hidden="false" outlineLevel="0" max="6" min="6" style="1" width="15"/>
  </cols>
  <sheetData>
    <row r="1" customFormat="false" ht="17.25" hidden="false" customHeight="true" outlineLevel="0" collapsed="false">
      <c r="A1" s="2" t="s">
        <v>369</v>
      </c>
    </row>
    <row r="2" customFormat="false" ht="15" hidden="false" customHeight="true" outlineLevel="0" collapsed="false">
      <c r="A2" s="3" t="s">
        <v>370</v>
      </c>
    </row>
    <row r="4" customFormat="false" ht="27.75" hidden="false" customHeight="true" outlineLevel="0" collapsed="false">
      <c r="A4" s="9" t="s">
        <v>371</v>
      </c>
      <c r="B4" s="9" t="s">
        <v>372</v>
      </c>
      <c r="C4" s="9" t="s">
        <v>373</v>
      </c>
      <c r="D4" s="9" t="s">
        <v>34</v>
      </c>
      <c r="E4" s="9" t="s">
        <v>374</v>
      </c>
      <c r="F4" s="9" t="s">
        <v>375</v>
      </c>
    </row>
    <row r="5" customFormat="false" ht="15" hidden="false" customHeight="true" outlineLevel="0" collapsed="false">
      <c r="A5" s="10" t="s">
        <v>376</v>
      </c>
      <c r="B5" s="10" t="s">
        <v>377</v>
      </c>
      <c r="C5" s="10" t="s">
        <v>378</v>
      </c>
      <c r="D5" s="10" t="s">
        <v>315</v>
      </c>
      <c r="E5" s="10" t="s">
        <v>379</v>
      </c>
      <c r="F5" s="10" t="s">
        <v>380</v>
      </c>
    </row>
    <row r="6" customFormat="false" ht="15" hidden="false" customHeight="true" outlineLevel="0" collapsed="false">
      <c r="A6" s="11" t="s">
        <v>376</v>
      </c>
      <c r="B6" s="11" t="s">
        <v>381</v>
      </c>
      <c r="C6" s="11" t="s">
        <v>382</v>
      </c>
      <c r="D6" s="11" t="s">
        <v>315</v>
      </c>
      <c r="E6" s="11" t="s">
        <v>383</v>
      </c>
      <c r="F6" s="11" t="s">
        <v>384</v>
      </c>
    </row>
    <row r="7" customFormat="false" ht="15" hidden="false" customHeight="true" outlineLevel="0" collapsed="false">
      <c r="A7" s="10" t="s">
        <v>376</v>
      </c>
      <c r="B7" s="10" t="s">
        <v>385</v>
      </c>
      <c r="C7" s="10" t="s">
        <v>386</v>
      </c>
      <c r="D7" s="10" t="s">
        <v>315</v>
      </c>
      <c r="E7" s="10" t="s">
        <v>387</v>
      </c>
      <c r="F7" s="10" t="s">
        <v>388</v>
      </c>
    </row>
    <row r="8" customFormat="false" ht="23.25" hidden="false" customHeight="true" outlineLevel="0" collapsed="false">
      <c r="A8" s="11" t="s">
        <v>376</v>
      </c>
      <c r="B8" s="11" t="s">
        <v>389</v>
      </c>
      <c r="C8" s="11" t="s">
        <v>390</v>
      </c>
      <c r="D8" s="11" t="s">
        <v>315</v>
      </c>
      <c r="E8" s="11" t="s">
        <v>391</v>
      </c>
      <c r="F8" s="11" t="s">
        <v>392</v>
      </c>
    </row>
    <row r="9" customFormat="false" ht="15" hidden="false" customHeight="true" outlineLevel="0" collapsed="false">
      <c r="A9" s="10" t="s">
        <v>376</v>
      </c>
      <c r="B9" s="10" t="s">
        <v>393</v>
      </c>
      <c r="C9" s="10" t="s">
        <v>394</v>
      </c>
      <c r="D9" s="10" t="s">
        <v>315</v>
      </c>
      <c r="E9" s="10" t="s">
        <v>395</v>
      </c>
      <c r="F9" s="10" t="s">
        <v>396</v>
      </c>
    </row>
    <row r="10" customFormat="false" ht="15" hidden="false" customHeight="true" outlineLevel="0" collapsed="false">
      <c r="A10" s="11" t="s">
        <v>376</v>
      </c>
      <c r="B10" s="11" t="s">
        <v>397</v>
      </c>
      <c r="C10" s="11" t="s">
        <v>398</v>
      </c>
      <c r="D10" s="11" t="s">
        <v>303</v>
      </c>
      <c r="E10" s="11" t="s">
        <v>65</v>
      </c>
      <c r="F10" s="11"/>
    </row>
    <row r="11" customFormat="false" ht="23.25" hidden="false" customHeight="true" outlineLevel="0" collapsed="false">
      <c r="A11" s="10" t="s">
        <v>376</v>
      </c>
      <c r="B11" s="10" t="s">
        <v>399</v>
      </c>
      <c r="C11" s="10" t="s">
        <v>400</v>
      </c>
      <c r="D11" s="10" t="s">
        <v>315</v>
      </c>
      <c r="E11" s="10" t="s">
        <v>401</v>
      </c>
      <c r="F11" s="10" t="s">
        <v>402</v>
      </c>
    </row>
    <row r="12" customFormat="false" ht="15" hidden="false" customHeight="true" outlineLevel="0" collapsed="false">
      <c r="A12" s="11" t="s">
        <v>376</v>
      </c>
      <c r="B12" s="11" t="s">
        <v>403</v>
      </c>
      <c r="C12" s="11" t="s">
        <v>404</v>
      </c>
      <c r="D12" s="11" t="s">
        <v>315</v>
      </c>
      <c r="E12" s="11" t="s">
        <v>405</v>
      </c>
      <c r="F12" s="11" t="s">
        <v>406</v>
      </c>
    </row>
    <row r="13" customFormat="false" ht="15" hidden="false" customHeight="true" outlineLevel="0" collapsed="false">
      <c r="A13" s="10" t="s">
        <v>376</v>
      </c>
      <c r="B13" s="10" t="s">
        <v>407</v>
      </c>
      <c r="C13" s="10" t="s">
        <v>408</v>
      </c>
      <c r="D13" s="10" t="s">
        <v>315</v>
      </c>
      <c r="E13" s="10" t="s">
        <v>409</v>
      </c>
      <c r="F13" s="10" t="s">
        <v>410</v>
      </c>
    </row>
    <row r="14" customFormat="false" ht="15" hidden="false" customHeight="true" outlineLevel="0" collapsed="false">
      <c r="A14" s="11" t="s">
        <v>376</v>
      </c>
      <c r="B14" s="11" t="s">
        <v>411</v>
      </c>
      <c r="C14" s="11" t="s">
        <v>412</v>
      </c>
      <c r="D14" s="11" t="s">
        <v>315</v>
      </c>
      <c r="E14" s="11" t="s">
        <v>413</v>
      </c>
      <c r="F14" s="11" t="s">
        <v>414</v>
      </c>
    </row>
    <row r="15" customFormat="false" ht="15" hidden="false" customHeight="true" outlineLevel="0" collapsed="false">
      <c r="A15" s="10" t="s">
        <v>376</v>
      </c>
      <c r="B15" s="10" t="s">
        <v>415</v>
      </c>
      <c r="C15" s="10" t="s">
        <v>416</v>
      </c>
      <c r="D15" s="10" t="s">
        <v>315</v>
      </c>
      <c r="E15" s="10" t="s">
        <v>417</v>
      </c>
      <c r="F15" s="10" t="s">
        <v>418</v>
      </c>
    </row>
    <row r="16" customFormat="false" ht="15" hidden="false" customHeight="true" outlineLevel="0" collapsed="false">
      <c r="A16" s="11" t="s">
        <v>376</v>
      </c>
      <c r="B16" s="11" t="s">
        <v>419</v>
      </c>
      <c r="C16" s="11" t="s">
        <v>420</v>
      </c>
      <c r="D16" s="11" t="s">
        <v>315</v>
      </c>
      <c r="E16" s="11" t="s">
        <v>421</v>
      </c>
      <c r="F16" s="11" t="s">
        <v>418</v>
      </c>
    </row>
    <row r="17" customFormat="false" ht="15" hidden="false" customHeight="true" outlineLevel="0" collapsed="false">
      <c r="A17" s="10" t="s">
        <v>422</v>
      </c>
      <c r="B17" s="10" t="s">
        <v>423</v>
      </c>
      <c r="C17" s="10" t="s">
        <v>424</v>
      </c>
      <c r="D17" s="10" t="s">
        <v>315</v>
      </c>
      <c r="E17" s="10" t="s">
        <v>425</v>
      </c>
      <c r="F17" s="10" t="s">
        <v>426</v>
      </c>
    </row>
    <row r="18" customFormat="false" ht="15" hidden="false" customHeight="true" outlineLevel="0" collapsed="false">
      <c r="A18" s="11" t="s">
        <v>422</v>
      </c>
      <c r="B18" s="11" t="s">
        <v>427</v>
      </c>
      <c r="C18" s="11" t="s">
        <v>428</v>
      </c>
      <c r="D18" s="11" t="s">
        <v>315</v>
      </c>
      <c r="E18" s="11" t="s">
        <v>429</v>
      </c>
      <c r="F18" s="11" t="s">
        <v>418</v>
      </c>
    </row>
    <row r="19" customFormat="false" ht="15" hidden="false" customHeight="true" outlineLevel="0" collapsed="false">
      <c r="A19" s="10" t="s">
        <v>422</v>
      </c>
      <c r="B19" s="10" t="s">
        <v>430</v>
      </c>
      <c r="C19" s="10" t="s">
        <v>431</v>
      </c>
      <c r="D19" s="10" t="s">
        <v>315</v>
      </c>
      <c r="E19" s="10" t="s">
        <v>432</v>
      </c>
      <c r="F19" s="10" t="s">
        <v>410</v>
      </c>
    </row>
    <row r="20" customFormat="false" ht="15" hidden="false" customHeight="true" outlineLevel="0" collapsed="false">
      <c r="A20" s="11" t="s">
        <v>422</v>
      </c>
      <c r="B20" s="11" t="s">
        <v>433</v>
      </c>
      <c r="C20" s="11" t="s">
        <v>434</v>
      </c>
      <c r="D20" s="11" t="s">
        <v>315</v>
      </c>
      <c r="E20" s="11" t="s">
        <v>435</v>
      </c>
      <c r="F20" s="11" t="s">
        <v>406</v>
      </c>
    </row>
    <row r="21" customFormat="false" ht="15" hidden="false" customHeight="true" outlineLevel="0" collapsed="false">
      <c r="A21" s="10" t="s">
        <v>422</v>
      </c>
      <c r="B21" s="10" t="s">
        <v>436</v>
      </c>
      <c r="C21" s="10" t="s">
        <v>437</v>
      </c>
      <c r="D21" s="10" t="s">
        <v>315</v>
      </c>
      <c r="E21" s="10" t="s">
        <v>438</v>
      </c>
      <c r="F21" s="10" t="s">
        <v>439</v>
      </c>
    </row>
    <row r="22" customFormat="false" ht="23.25" hidden="false" customHeight="true" outlineLevel="0" collapsed="false">
      <c r="A22" s="11" t="s">
        <v>422</v>
      </c>
      <c r="B22" s="11" t="s">
        <v>440</v>
      </c>
      <c r="C22" s="11" t="s">
        <v>441</v>
      </c>
      <c r="D22" s="11" t="s">
        <v>315</v>
      </c>
      <c r="E22" s="11" t="s">
        <v>442</v>
      </c>
      <c r="F22" s="11" t="s">
        <v>443</v>
      </c>
    </row>
    <row r="23" customFormat="false" ht="23.25" hidden="false" customHeight="true" outlineLevel="0" collapsed="false">
      <c r="A23" s="10" t="s">
        <v>422</v>
      </c>
      <c r="B23" s="10" t="s">
        <v>444</v>
      </c>
      <c r="C23" s="10" t="s">
        <v>445</v>
      </c>
      <c r="D23" s="10" t="s">
        <v>315</v>
      </c>
      <c r="E23" s="10" t="s">
        <v>446</v>
      </c>
      <c r="F23" s="10" t="s">
        <v>402</v>
      </c>
    </row>
    <row r="24" customFormat="false" ht="23.25" hidden="false" customHeight="true" outlineLevel="0" collapsed="false">
      <c r="A24" s="11" t="s">
        <v>422</v>
      </c>
      <c r="B24" s="11" t="s">
        <v>447</v>
      </c>
      <c r="C24" s="11" t="s">
        <v>448</v>
      </c>
      <c r="D24" s="11" t="s">
        <v>315</v>
      </c>
      <c r="E24" s="11" t="s">
        <v>449</v>
      </c>
      <c r="F24" s="11" t="s">
        <v>450</v>
      </c>
    </row>
    <row r="25" customFormat="false" ht="15" hidden="false" customHeight="true" outlineLevel="0" collapsed="false">
      <c r="A25" s="10" t="s">
        <v>422</v>
      </c>
      <c r="B25" s="10" t="s">
        <v>451</v>
      </c>
      <c r="C25" s="10" t="s">
        <v>452</v>
      </c>
      <c r="D25" s="10" t="s">
        <v>315</v>
      </c>
      <c r="E25" s="10" t="s">
        <v>413</v>
      </c>
      <c r="F25" s="10" t="s">
        <v>406</v>
      </c>
    </row>
    <row r="26" customFormat="false" ht="15" hidden="false" customHeight="true" outlineLevel="0" collapsed="false">
      <c r="A26" s="11" t="s">
        <v>453</v>
      </c>
      <c r="B26" s="11" t="s">
        <v>454</v>
      </c>
      <c r="C26" s="11" t="s">
        <v>455</v>
      </c>
      <c r="D26" s="11" t="s">
        <v>315</v>
      </c>
      <c r="E26" s="11" t="s">
        <v>456</v>
      </c>
      <c r="F26" s="11" t="s">
        <v>457</v>
      </c>
    </row>
    <row r="27" customFormat="false" ht="15" hidden="false" customHeight="true" outlineLevel="0" collapsed="false">
      <c r="A27" s="10" t="s">
        <v>453</v>
      </c>
      <c r="B27" s="10" t="s">
        <v>458</v>
      </c>
      <c r="C27" s="10" t="s">
        <v>459</v>
      </c>
      <c r="D27" s="10" t="s">
        <v>315</v>
      </c>
      <c r="E27" s="10" t="s">
        <v>460</v>
      </c>
      <c r="F27" s="10" t="s">
        <v>461</v>
      </c>
    </row>
    <row r="28" customFormat="false" ht="15" hidden="false" customHeight="true" outlineLevel="0" collapsed="false">
      <c r="A28" s="11" t="s">
        <v>453</v>
      </c>
      <c r="B28" s="11" t="s">
        <v>462</v>
      </c>
      <c r="C28" s="11" t="s">
        <v>463</v>
      </c>
      <c r="D28" s="11" t="s">
        <v>315</v>
      </c>
      <c r="E28" s="11" t="s">
        <v>464</v>
      </c>
      <c r="F28" s="11" t="s">
        <v>465</v>
      </c>
    </row>
    <row r="29" customFormat="false" ht="15" hidden="false" customHeight="true" outlineLevel="0" collapsed="false">
      <c r="A29" s="10" t="s">
        <v>453</v>
      </c>
      <c r="B29" s="10" t="s">
        <v>466</v>
      </c>
      <c r="C29" s="10" t="s">
        <v>467</v>
      </c>
      <c r="D29" s="10" t="s">
        <v>315</v>
      </c>
      <c r="E29" s="10" t="s">
        <v>468</v>
      </c>
      <c r="F29" s="10" t="s">
        <v>410</v>
      </c>
    </row>
    <row r="30" customFormat="false" ht="15" hidden="false" customHeight="true" outlineLevel="0" collapsed="false">
      <c r="A30" s="11" t="s">
        <v>453</v>
      </c>
      <c r="B30" s="11" t="s">
        <v>469</v>
      </c>
      <c r="C30" s="11" t="s">
        <v>470</v>
      </c>
      <c r="D30" s="11" t="s">
        <v>315</v>
      </c>
      <c r="E30" s="11" t="s">
        <v>471</v>
      </c>
      <c r="F30" s="11" t="s">
        <v>472</v>
      </c>
    </row>
    <row r="31" customFormat="false" ht="15" hidden="false" customHeight="true" outlineLevel="0" collapsed="false">
      <c r="A31" s="10" t="s">
        <v>453</v>
      </c>
      <c r="B31" s="10" t="s">
        <v>473</v>
      </c>
      <c r="C31" s="10" t="s">
        <v>474</v>
      </c>
      <c r="D31" s="10" t="s">
        <v>315</v>
      </c>
      <c r="E31" s="10" t="s">
        <v>413</v>
      </c>
      <c r="F31" s="10" t="s">
        <v>475</v>
      </c>
    </row>
    <row r="32" customFormat="false" ht="15" hidden="false" customHeight="true" outlineLevel="0" collapsed="false">
      <c r="A32" s="11" t="s">
        <v>453</v>
      </c>
      <c r="B32" s="11" t="s">
        <v>476</v>
      </c>
      <c r="C32" s="11" t="s">
        <v>477</v>
      </c>
      <c r="D32" s="11" t="s">
        <v>315</v>
      </c>
      <c r="E32" s="11" t="s">
        <v>478</v>
      </c>
      <c r="F32" s="11" t="s">
        <v>479</v>
      </c>
    </row>
    <row r="33" customFormat="false" ht="15" hidden="false" customHeight="true" outlineLevel="0" collapsed="false">
      <c r="A33" s="10" t="s">
        <v>480</v>
      </c>
      <c r="B33" s="10" t="s">
        <v>481</v>
      </c>
      <c r="C33" s="10" t="s">
        <v>482</v>
      </c>
      <c r="D33" s="10" t="s">
        <v>315</v>
      </c>
      <c r="E33" s="10" t="s">
        <v>483</v>
      </c>
      <c r="F33" s="10" t="s">
        <v>406</v>
      </c>
    </row>
    <row r="34" customFormat="false" ht="15" hidden="false" customHeight="true" outlineLevel="0" collapsed="false">
      <c r="A34" s="11" t="s">
        <v>480</v>
      </c>
      <c r="B34" s="11" t="s">
        <v>484</v>
      </c>
      <c r="C34" s="11" t="s">
        <v>485</v>
      </c>
      <c r="D34" s="11" t="s">
        <v>315</v>
      </c>
      <c r="E34" s="11" t="s">
        <v>486</v>
      </c>
      <c r="F34" s="11" t="s">
        <v>406</v>
      </c>
    </row>
    <row r="35" customFormat="false" ht="15" hidden="false" customHeight="true" outlineLevel="0" collapsed="false">
      <c r="A35" s="10" t="s">
        <v>480</v>
      </c>
      <c r="B35" s="10" t="s">
        <v>487</v>
      </c>
      <c r="C35" s="10" t="s">
        <v>488</v>
      </c>
      <c r="D35" s="10" t="s">
        <v>315</v>
      </c>
      <c r="E35" s="10" t="s">
        <v>413</v>
      </c>
      <c r="F35" s="10" t="s">
        <v>396</v>
      </c>
    </row>
    <row r="36" customFormat="false" ht="15" hidden="false" customHeight="true" outlineLevel="0" collapsed="false">
      <c r="A36" s="11" t="s">
        <v>480</v>
      </c>
      <c r="B36" s="11" t="s">
        <v>489</v>
      </c>
      <c r="C36" s="11" t="s">
        <v>490</v>
      </c>
      <c r="D36" s="11" t="s">
        <v>315</v>
      </c>
      <c r="E36" s="11" t="s">
        <v>491</v>
      </c>
      <c r="F36" s="11" t="s">
        <v>492</v>
      </c>
    </row>
    <row r="37" customFormat="false" ht="15" hidden="false" customHeight="true" outlineLevel="0" collapsed="false">
      <c r="A37" s="10" t="s">
        <v>480</v>
      </c>
      <c r="B37" s="10" t="s">
        <v>493</v>
      </c>
      <c r="C37" s="10" t="s">
        <v>494</v>
      </c>
      <c r="D37" s="10" t="s">
        <v>315</v>
      </c>
      <c r="E37" s="10" t="s">
        <v>413</v>
      </c>
      <c r="F37" s="10" t="s">
        <v>472</v>
      </c>
    </row>
    <row r="38" customFormat="false" ht="15" hidden="false" customHeight="true" outlineLevel="0" collapsed="false">
      <c r="A38" s="11" t="s">
        <v>480</v>
      </c>
      <c r="B38" s="11" t="s">
        <v>495</v>
      </c>
      <c r="C38" s="11" t="s">
        <v>496</v>
      </c>
      <c r="D38" s="11" t="s">
        <v>315</v>
      </c>
      <c r="E38" s="11" t="s">
        <v>497</v>
      </c>
      <c r="F38" s="11" t="s">
        <v>418</v>
      </c>
    </row>
    <row r="39" customFormat="false" ht="15" hidden="false" customHeight="true" outlineLevel="0" collapsed="false">
      <c r="A39" s="10" t="s">
        <v>480</v>
      </c>
      <c r="B39" s="10" t="s">
        <v>498</v>
      </c>
      <c r="C39" s="10" t="s">
        <v>499</v>
      </c>
      <c r="D39" s="10" t="s">
        <v>315</v>
      </c>
      <c r="E39" s="10" t="s">
        <v>500</v>
      </c>
      <c r="F39" s="10" t="s">
        <v>388</v>
      </c>
    </row>
    <row r="40" customFormat="false" ht="23.25" hidden="false" customHeight="true" outlineLevel="0" collapsed="false">
      <c r="A40" s="11" t="s">
        <v>480</v>
      </c>
      <c r="B40" s="11" t="s">
        <v>501</v>
      </c>
      <c r="C40" s="11" t="s">
        <v>502</v>
      </c>
      <c r="D40" s="11" t="s">
        <v>315</v>
      </c>
      <c r="E40" s="11" t="s">
        <v>503</v>
      </c>
      <c r="F40" s="11" t="s">
        <v>406</v>
      </c>
    </row>
    <row r="41" customFormat="false" ht="15" hidden="false" customHeight="true" outlineLevel="0" collapsed="false">
      <c r="A41" s="10" t="s">
        <v>504</v>
      </c>
      <c r="B41" s="10" t="s">
        <v>505</v>
      </c>
      <c r="C41" s="10" t="s">
        <v>506</v>
      </c>
      <c r="D41" s="10" t="s">
        <v>303</v>
      </c>
      <c r="E41" s="10" t="s">
        <v>65</v>
      </c>
      <c r="F41" s="10"/>
    </row>
    <row r="42" customFormat="false" ht="15" hidden="false" customHeight="true" outlineLevel="0" collapsed="false">
      <c r="A42" s="11" t="s">
        <v>504</v>
      </c>
      <c r="B42" s="11" t="s">
        <v>507</v>
      </c>
      <c r="C42" s="11" t="s">
        <v>508</v>
      </c>
      <c r="D42" s="11" t="s">
        <v>303</v>
      </c>
      <c r="E42" s="11" t="s">
        <v>65</v>
      </c>
      <c r="F42" s="11"/>
    </row>
    <row r="43" customFormat="false" ht="15" hidden="false" customHeight="true" outlineLevel="0" collapsed="false">
      <c r="A43" s="10" t="s">
        <v>504</v>
      </c>
      <c r="B43" s="10" t="s">
        <v>509</v>
      </c>
      <c r="C43" s="10" t="s">
        <v>510</v>
      </c>
      <c r="D43" s="10" t="s">
        <v>303</v>
      </c>
      <c r="E43" s="10" t="s">
        <v>65</v>
      </c>
      <c r="F43" s="10"/>
    </row>
    <row r="44" customFormat="false" ht="15" hidden="false" customHeight="true" outlineLevel="0" collapsed="false">
      <c r="A44" s="11" t="s">
        <v>504</v>
      </c>
      <c r="B44" s="11" t="s">
        <v>511</v>
      </c>
      <c r="C44" s="11" t="s">
        <v>512</v>
      </c>
      <c r="D44" s="11" t="s">
        <v>303</v>
      </c>
      <c r="E44" s="11" t="s">
        <v>65</v>
      </c>
      <c r="F44" s="11"/>
    </row>
    <row r="45" customFormat="false" ht="15" hidden="false" customHeight="true" outlineLevel="0" collapsed="false">
      <c r="A45" s="10" t="s">
        <v>504</v>
      </c>
      <c r="B45" s="10" t="s">
        <v>513</v>
      </c>
      <c r="C45" s="10" t="s">
        <v>514</v>
      </c>
      <c r="D45" s="10" t="s">
        <v>303</v>
      </c>
      <c r="E45" s="10" t="s">
        <v>65</v>
      </c>
      <c r="F45" s="10"/>
    </row>
    <row r="46" customFormat="false" ht="15" hidden="false" customHeight="true" outlineLevel="0" collapsed="false">
      <c r="A46" s="11" t="s">
        <v>504</v>
      </c>
      <c r="B46" s="11" t="s">
        <v>515</v>
      </c>
      <c r="C46" s="11" t="s">
        <v>516</v>
      </c>
      <c r="D46" s="11" t="s">
        <v>303</v>
      </c>
      <c r="E46" s="11" t="s">
        <v>65</v>
      </c>
      <c r="F46" s="11"/>
    </row>
    <row r="47" customFormat="false" ht="15" hidden="false" customHeight="true" outlineLevel="0" collapsed="false">
      <c r="A47" s="10" t="s">
        <v>504</v>
      </c>
      <c r="B47" s="10" t="s">
        <v>517</v>
      </c>
      <c r="C47" s="10" t="s">
        <v>518</v>
      </c>
      <c r="D47" s="10" t="s">
        <v>303</v>
      </c>
      <c r="E47" s="10" t="s">
        <v>65</v>
      </c>
      <c r="F47" s="10"/>
    </row>
    <row r="48" customFormat="false" ht="15" hidden="false" customHeight="true" outlineLevel="0" collapsed="false">
      <c r="A48" s="11" t="s">
        <v>504</v>
      </c>
      <c r="B48" s="11" t="s">
        <v>519</v>
      </c>
      <c r="C48" s="11" t="s">
        <v>520</v>
      </c>
      <c r="D48" s="11" t="s">
        <v>303</v>
      </c>
      <c r="E48" s="11" t="s">
        <v>65</v>
      </c>
      <c r="F48"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2"/>
    <col collapsed="false" customWidth="true" hidden="false" outlineLevel="0" max="3" min="3" style="1" width="20"/>
    <col collapsed="false" customWidth="true" hidden="false" outlineLevel="0" max="4" min="4" style="1" width="17"/>
    <col collapsed="false" customWidth="true" hidden="false" outlineLevel="0" max="5" min="5" style="1" width="84"/>
  </cols>
  <sheetData>
    <row r="1" customFormat="false" ht="17.25" hidden="false" customHeight="true" outlineLevel="0" collapsed="false">
      <c r="A1" s="2" t="s">
        <v>521</v>
      </c>
    </row>
    <row r="2" customFormat="false" ht="15" hidden="false" customHeight="true" outlineLevel="0" collapsed="false">
      <c r="A2" s="3" t="s">
        <v>522</v>
      </c>
    </row>
    <row r="4" customFormat="false" ht="27.75" hidden="false" customHeight="true" outlineLevel="0" collapsed="false">
      <c r="A4" s="9" t="s">
        <v>523</v>
      </c>
      <c r="B4" s="9" t="s">
        <v>524</v>
      </c>
      <c r="C4" s="9" t="s">
        <v>525</v>
      </c>
      <c r="D4" s="9" t="s">
        <v>526</v>
      </c>
      <c r="E4" s="9" t="s">
        <v>37</v>
      </c>
    </row>
    <row r="5" customFormat="false" ht="23.25" hidden="false" customHeight="true" outlineLevel="0" collapsed="false">
      <c r="A5" s="10" t="s">
        <v>527</v>
      </c>
      <c r="B5" s="10" t="s">
        <v>528</v>
      </c>
      <c r="C5" s="10" t="s">
        <v>529</v>
      </c>
      <c r="D5" s="10" t="s">
        <v>530</v>
      </c>
      <c r="E5" s="10" t="s">
        <v>531</v>
      </c>
    </row>
    <row r="6" customFormat="false" ht="15" hidden="false" customHeight="true" outlineLevel="0" collapsed="false">
      <c r="A6" s="11" t="s">
        <v>532</v>
      </c>
      <c r="B6" s="11" t="s">
        <v>65</v>
      </c>
      <c r="C6" s="11" t="s">
        <v>533</v>
      </c>
      <c r="D6" s="11" t="s">
        <v>530</v>
      </c>
      <c r="E6" s="11" t="s">
        <v>534</v>
      </c>
    </row>
    <row r="7" customFormat="false" ht="23.25" hidden="false" customHeight="true" outlineLevel="0" collapsed="false">
      <c r="A7" s="10" t="s">
        <v>535</v>
      </c>
      <c r="B7" s="10" t="s">
        <v>65</v>
      </c>
      <c r="C7" s="10" t="s">
        <v>536</v>
      </c>
      <c r="D7" s="10" t="s">
        <v>537</v>
      </c>
      <c r="E7" s="10" t="s">
        <v>538</v>
      </c>
    </row>
    <row r="8" customFormat="false" ht="15" hidden="false" customHeight="true" outlineLevel="0" collapsed="false">
      <c r="A8" s="11" t="s">
        <v>539</v>
      </c>
      <c r="B8" s="11" t="s">
        <v>540</v>
      </c>
      <c r="C8" s="11" t="s">
        <v>541</v>
      </c>
      <c r="D8" s="11" t="s">
        <v>537</v>
      </c>
      <c r="E8" s="11"/>
    </row>
    <row r="9" customFormat="false" ht="15" hidden="false" customHeight="true" outlineLevel="0" collapsed="false">
      <c r="A9" s="10" t="s">
        <v>542</v>
      </c>
      <c r="B9" s="10" t="s">
        <v>543</v>
      </c>
      <c r="C9" s="10" t="s">
        <v>544</v>
      </c>
      <c r="D9" s="10" t="s">
        <v>537</v>
      </c>
      <c r="E9" s="10"/>
    </row>
    <row r="10" customFormat="false" ht="15" hidden="false" customHeight="true" outlineLevel="0" collapsed="false">
      <c r="A10" s="11" t="s">
        <v>545</v>
      </c>
      <c r="B10" s="11" t="s">
        <v>546</v>
      </c>
      <c r="C10" s="11" t="s">
        <v>62</v>
      </c>
      <c r="D10" s="11" t="s">
        <v>547</v>
      </c>
      <c r="E10" s="11" t="s">
        <v>548</v>
      </c>
    </row>
    <row r="11" customFormat="false" ht="15" hidden="false" customHeight="true" outlineLevel="0" collapsed="false">
      <c r="A11" s="10" t="s">
        <v>549</v>
      </c>
      <c r="B11" s="10" t="s">
        <v>550</v>
      </c>
      <c r="C11" s="10" t="s">
        <v>62</v>
      </c>
      <c r="D11" s="10" t="s">
        <v>547</v>
      </c>
      <c r="E11" s="10"/>
    </row>
    <row r="12" customFormat="false" ht="15" hidden="false" customHeight="true" outlineLevel="0" collapsed="false">
      <c r="A12" s="11" t="s">
        <v>551</v>
      </c>
      <c r="B12" s="11" t="s">
        <v>552</v>
      </c>
      <c r="C12" s="11" t="s">
        <v>62</v>
      </c>
      <c r="D12" s="11" t="s">
        <v>547</v>
      </c>
      <c r="E12" s="11"/>
    </row>
    <row r="13" customFormat="false" ht="15" hidden="false" customHeight="true" outlineLevel="0" collapsed="false">
      <c r="A13" s="10" t="s">
        <v>553</v>
      </c>
      <c r="B13" s="10" t="s">
        <v>554</v>
      </c>
      <c r="C13" s="10" t="s">
        <v>62</v>
      </c>
      <c r="D13" s="10" t="s">
        <v>547</v>
      </c>
      <c r="E13" s="10"/>
    </row>
    <row r="14" customFormat="false" ht="15" hidden="false" customHeight="true" outlineLevel="0" collapsed="false">
      <c r="A14" s="11" t="s">
        <v>555</v>
      </c>
      <c r="B14" s="11" t="s">
        <v>556</v>
      </c>
      <c r="C14" s="11" t="s">
        <v>62</v>
      </c>
      <c r="D14" s="11" t="s">
        <v>547</v>
      </c>
      <c r="E14" s="11"/>
    </row>
    <row r="15" customFormat="false" ht="15" hidden="false" customHeight="true" outlineLevel="0" collapsed="false">
      <c r="A15" s="10" t="s">
        <v>557</v>
      </c>
      <c r="B15" s="10" t="s">
        <v>558</v>
      </c>
      <c r="C15" s="10" t="s">
        <v>62</v>
      </c>
      <c r="D15" s="10" t="s">
        <v>547</v>
      </c>
      <c r="E15" s="10"/>
    </row>
    <row r="16" customFormat="false" ht="23.25" hidden="false" customHeight="true" outlineLevel="0" collapsed="false">
      <c r="A16" s="11" t="s">
        <v>559</v>
      </c>
      <c r="B16" s="11" t="s">
        <v>560</v>
      </c>
      <c r="C16" s="11" t="s">
        <v>561</v>
      </c>
      <c r="D16" s="11" t="s">
        <v>562</v>
      </c>
      <c r="E16" s="11" t="s">
        <v>563</v>
      </c>
    </row>
    <row r="17" customFormat="false" ht="15" hidden="false" customHeight="true" outlineLevel="0" collapsed="false">
      <c r="A17" s="10" t="s">
        <v>564</v>
      </c>
      <c r="B17" s="10" t="s">
        <v>565</v>
      </c>
      <c r="C17" s="10" t="s">
        <v>566</v>
      </c>
      <c r="D17" s="10" t="s">
        <v>537</v>
      </c>
      <c r="E17" s="10" t="s">
        <v>567</v>
      </c>
    </row>
    <row r="18" customFormat="false" ht="23.25" hidden="false" customHeight="true" outlineLevel="0" collapsed="false">
      <c r="A18" s="11" t="s">
        <v>568</v>
      </c>
      <c r="B18" s="11" t="s">
        <v>569</v>
      </c>
      <c r="C18" s="11" t="s">
        <v>570</v>
      </c>
      <c r="D18" s="11" t="s">
        <v>571</v>
      </c>
      <c r="E18" s="11" t="s">
        <v>572</v>
      </c>
    </row>
    <row r="19" customFormat="false" ht="15" hidden="false" customHeight="true" outlineLevel="0" collapsed="false">
      <c r="A19" s="10" t="s">
        <v>573</v>
      </c>
      <c r="B19" s="10" t="s">
        <v>38</v>
      </c>
      <c r="C19" s="10" t="s">
        <v>574</v>
      </c>
      <c r="D19" s="10" t="s">
        <v>537</v>
      </c>
      <c r="E19" s="10" t="s">
        <v>575</v>
      </c>
    </row>
    <row r="20" customFormat="false" ht="15" hidden="false" customHeight="true" outlineLevel="0" collapsed="false">
      <c r="A20" s="11" t="s">
        <v>576</v>
      </c>
      <c r="B20" s="11" t="s">
        <v>577</v>
      </c>
      <c r="C20" s="11" t="s">
        <v>578</v>
      </c>
      <c r="D20" s="11" t="s">
        <v>537</v>
      </c>
      <c r="E20" s="11" t="s">
        <v>579</v>
      </c>
    </row>
    <row r="21" customFormat="false" ht="15" hidden="false" customHeight="true" outlineLevel="0" collapsed="false">
      <c r="A21" s="10" t="s">
        <v>580</v>
      </c>
      <c r="B21" s="10" t="s">
        <v>581</v>
      </c>
      <c r="C21" s="10" t="s">
        <v>582</v>
      </c>
      <c r="D21" s="10" t="s">
        <v>537</v>
      </c>
      <c r="E21" s="10"/>
    </row>
    <row r="22" customFormat="false" ht="15" hidden="false" customHeight="true" outlineLevel="0" collapsed="false">
      <c r="A22" s="11" t="s">
        <v>583</v>
      </c>
      <c r="B22" s="11" t="s">
        <v>584</v>
      </c>
      <c r="C22" s="11" t="s">
        <v>585</v>
      </c>
      <c r="D22" s="11" t="s">
        <v>537</v>
      </c>
      <c r="E22" s="11"/>
    </row>
    <row r="23" customFormat="false" ht="15" hidden="false" customHeight="true" outlineLevel="0" collapsed="false">
      <c r="A23" s="10" t="s">
        <v>586</v>
      </c>
      <c r="B23" s="10" t="s">
        <v>587</v>
      </c>
      <c r="C23" s="10" t="s">
        <v>588</v>
      </c>
      <c r="D23" s="10" t="s">
        <v>537</v>
      </c>
      <c r="E23" s="10"/>
    </row>
    <row r="24" customFormat="false" ht="15" hidden="false" customHeight="true" outlineLevel="0" collapsed="false">
      <c r="A24" s="11" t="s">
        <v>589</v>
      </c>
      <c r="B24" s="11" t="s">
        <v>590</v>
      </c>
      <c r="C24" s="11" t="s">
        <v>591</v>
      </c>
      <c r="D24" s="11" t="s">
        <v>537</v>
      </c>
      <c r="E24" s="11" t="s">
        <v>592</v>
      </c>
    </row>
    <row r="25" customFormat="false" ht="15" hidden="false" customHeight="true" outlineLevel="0" collapsed="false">
      <c r="A25" s="10" t="s">
        <v>593</v>
      </c>
      <c r="B25" s="10" t="s">
        <v>594</v>
      </c>
      <c r="C25" s="10" t="s">
        <v>595</v>
      </c>
      <c r="D25" s="10" t="s">
        <v>596</v>
      </c>
      <c r="E25" s="10" t="s">
        <v>597</v>
      </c>
    </row>
    <row r="26" customFormat="false" ht="15" hidden="false" customHeight="true" outlineLevel="0" collapsed="false">
      <c r="A26" s="11" t="s">
        <v>598</v>
      </c>
      <c r="B26" s="11" t="s">
        <v>599</v>
      </c>
      <c r="C26" s="11" t="s">
        <v>600</v>
      </c>
      <c r="D26" s="11" t="s">
        <v>537</v>
      </c>
      <c r="E26" s="11" t="s">
        <v>601</v>
      </c>
    </row>
    <row r="27" customFormat="false" ht="23.25" hidden="false" customHeight="true" outlineLevel="0" collapsed="false">
      <c r="A27" s="10" t="s">
        <v>602</v>
      </c>
      <c r="B27" s="10" t="s">
        <v>603</v>
      </c>
      <c r="C27" s="10" t="s">
        <v>604</v>
      </c>
      <c r="D27" s="10" t="s">
        <v>605</v>
      </c>
      <c r="E27" s="10" t="s">
        <v>606</v>
      </c>
    </row>
    <row r="28" customFormat="false" ht="15" hidden="false" customHeight="true" outlineLevel="0" collapsed="false">
      <c r="A28" s="11" t="s">
        <v>607</v>
      </c>
      <c r="B28" s="11" t="s">
        <v>608</v>
      </c>
      <c r="C28" s="11" t="s">
        <v>604</v>
      </c>
      <c r="D28" s="11" t="s">
        <v>605</v>
      </c>
      <c r="E28" s="11" t="s">
        <v>609</v>
      </c>
    </row>
    <row r="29" customFormat="false" ht="15" hidden="false" customHeight="true" outlineLevel="0" collapsed="false">
      <c r="A29" s="10" t="s">
        <v>610</v>
      </c>
      <c r="B29" s="10" t="s">
        <v>611</v>
      </c>
      <c r="C29" s="10" t="s">
        <v>604</v>
      </c>
      <c r="D29" s="10" t="s">
        <v>605</v>
      </c>
      <c r="E29" s="10" t="s">
        <v>612</v>
      </c>
    </row>
    <row r="30" customFormat="false" ht="15" hidden="false" customHeight="true" outlineLevel="0" collapsed="false">
      <c r="A30" s="11" t="s">
        <v>613</v>
      </c>
      <c r="B30" s="11" t="s">
        <v>614</v>
      </c>
      <c r="C30" s="11" t="s">
        <v>615</v>
      </c>
      <c r="D30" s="11" t="s">
        <v>537</v>
      </c>
      <c r="E30" s="11" t="s">
        <v>616</v>
      </c>
    </row>
    <row r="31" customFormat="false" ht="15" hidden="false" customHeight="true" outlineLevel="0" collapsed="false">
      <c r="A31" s="10" t="s">
        <v>617</v>
      </c>
      <c r="B31" s="10" t="s">
        <v>65</v>
      </c>
      <c r="C31" s="10" t="s">
        <v>618</v>
      </c>
      <c r="D31" s="10" t="s">
        <v>619</v>
      </c>
      <c r="E31" s="10" t="s">
        <v>620</v>
      </c>
    </row>
    <row r="32" customFormat="false" ht="15" hidden="false" customHeight="true" outlineLevel="0" collapsed="false">
      <c r="A32" s="11" t="s">
        <v>621</v>
      </c>
      <c r="B32" s="11" t="s">
        <v>65</v>
      </c>
      <c r="C32" s="11" t="s">
        <v>618</v>
      </c>
      <c r="D32" s="11" t="s">
        <v>619</v>
      </c>
      <c r="E32"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84"/>
    <col collapsed="false" customWidth="true" hidden="false" outlineLevel="0" max="4" min="4" style="1" width="66"/>
  </cols>
  <sheetData>
    <row r="1" customFormat="false" ht="17.25" hidden="false" customHeight="true" outlineLevel="0" collapsed="false">
      <c r="A1" s="2" t="s">
        <v>622</v>
      </c>
    </row>
    <row r="3" customFormat="false" ht="27.75" hidden="false" customHeight="true" outlineLevel="0" collapsed="false">
      <c r="A3" s="9" t="s">
        <v>623</v>
      </c>
      <c r="B3" s="9" t="s">
        <v>624</v>
      </c>
      <c r="C3" s="9" t="s">
        <v>625</v>
      </c>
      <c r="D3" s="9" t="s">
        <v>626</v>
      </c>
    </row>
    <row r="4" customFormat="false" ht="23.25" hidden="false" customHeight="true" outlineLevel="0" collapsed="false">
      <c r="A4" s="10" t="s">
        <v>627</v>
      </c>
      <c r="B4" s="10" t="s">
        <v>628</v>
      </c>
      <c r="C4" s="10" t="s">
        <v>629</v>
      </c>
      <c r="D4" s="10" t="s">
        <v>630</v>
      </c>
    </row>
    <row r="5" customFormat="false" ht="23.25" hidden="false" customHeight="true" outlineLevel="0" collapsed="false">
      <c r="A5" s="11" t="s">
        <v>627</v>
      </c>
      <c r="B5" s="11" t="s">
        <v>631</v>
      </c>
      <c r="C5" s="11" t="s">
        <v>632</v>
      </c>
      <c r="D5" s="11" t="s">
        <v>633</v>
      </c>
    </row>
    <row r="6" customFormat="false" ht="23.25" hidden="false" customHeight="true" outlineLevel="0" collapsed="false">
      <c r="A6" s="10" t="s">
        <v>634</v>
      </c>
      <c r="B6" s="10" t="s">
        <v>635</v>
      </c>
      <c r="C6" s="10" t="s">
        <v>636</v>
      </c>
      <c r="D6" s="10" t="s">
        <v>637</v>
      </c>
    </row>
    <row r="7" customFormat="false" ht="23.25" hidden="false" customHeight="true" outlineLevel="0" collapsed="false">
      <c r="A7" s="11" t="s">
        <v>634</v>
      </c>
      <c r="B7" s="11" t="s">
        <v>638</v>
      </c>
      <c r="C7" s="11" t="s">
        <v>639</v>
      </c>
      <c r="D7" s="11" t="s">
        <v>640</v>
      </c>
    </row>
    <row r="8" customFormat="false" ht="23.25" hidden="false" customHeight="true" outlineLevel="0" collapsed="false">
      <c r="A8" s="10" t="s">
        <v>634</v>
      </c>
      <c r="B8" s="10" t="s">
        <v>641</v>
      </c>
      <c r="C8" s="10" t="s">
        <v>642</v>
      </c>
      <c r="D8" s="10" t="s">
        <v>643</v>
      </c>
    </row>
    <row r="9" customFormat="false" ht="23.25" hidden="false" customHeight="true" outlineLevel="0" collapsed="false">
      <c r="A9" s="11" t="s">
        <v>634</v>
      </c>
      <c r="B9" s="11" t="s">
        <v>644</v>
      </c>
      <c r="C9" s="11" t="s">
        <v>645</v>
      </c>
      <c r="D9" s="11" t="s">
        <v>646</v>
      </c>
    </row>
    <row r="10" customFormat="false" ht="23.25" hidden="false" customHeight="true" outlineLevel="0" collapsed="false">
      <c r="A10" s="10" t="s">
        <v>647</v>
      </c>
      <c r="B10" s="10" t="s">
        <v>648</v>
      </c>
      <c r="C10" s="10" t="s">
        <v>649</v>
      </c>
      <c r="D10" s="10" t="s">
        <v>650</v>
      </c>
    </row>
    <row r="11" customFormat="false" ht="23.25" hidden="false" customHeight="true" outlineLevel="0" collapsed="false">
      <c r="A11" s="11" t="s">
        <v>647</v>
      </c>
      <c r="B11" s="11" t="s">
        <v>651</v>
      </c>
      <c r="C11" s="11" t="s">
        <v>652</v>
      </c>
      <c r="D11" s="11" t="s">
        <v>653</v>
      </c>
    </row>
    <row r="12" customFormat="false" ht="23.25" hidden="false" customHeight="true" outlineLevel="0" collapsed="false">
      <c r="A12" s="10" t="s">
        <v>647</v>
      </c>
      <c r="B12" s="10" t="s">
        <v>654</v>
      </c>
      <c r="C12" s="10" t="s">
        <v>655</v>
      </c>
      <c r="D12" s="10" t="s">
        <v>656</v>
      </c>
    </row>
    <row r="13" customFormat="false" ht="23.25" hidden="false" customHeight="true" outlineLevel="0" collapsed="false">
      <c r="A13" s="11" t="s">
        <v>647</v>
      </c>
      <c r="B13" s="11" t="s">
        <v>657</v>
      </c>
      <c r="C13" s="11" t="s">
        <v>658</v>
      </c>
      <c r="D13" s="11" t="s">
        <v>659</v>
      </c>
    </row>
    <row r="14" customFormat="false" ht="23.25" hidden="false" customHeight="true" outlineLevel="0" collapsed="false">
      <c r="A14" s="10" t="s">
        <v>647</v>
      </c>
      <c r="B14" s="10" t="s">
        <v>660</v>
      </c>
      <c r="C14" s="10" t="s">
        <v>661</v>
      </c>
      <c r="D14" s="10" t="s">
        <v>662</v>
      </c>
    </row>
    <row r="15" customFormat="false" ht="15" hidden="false" customHeight="true" outlineLevel="0" collapsed="false">
      <c r="A15" s="11" t="s">
        <v>663</v>
      </c>
      <c r="B15" s="11" t="s">
        <v>664</v>
      </c>
      <c r="C15" s="11" t="s">
        <v>665</v>
      </c>
      <c r="D15" s="11" t="s">
        <v>666</v>
      </c>
    </row>
    <row r="16" customFormat="false" ht="15" hidden="false" customHeight="true" outlineLevel="0" collapsed="false">
      <c r="A16" s="10" t="s">
        <v>663</v>
      </c>
      <c r="B16" s="10" t="s">
        <v>667</v>
      </c>
      <c r="C16" s="10" t="s">
        <v>668</v>
      </c>
      <c r="D16" s="10" t="s">
        <v>669</v>
      </c>
    </row>
    <row r="17" customFormat="false" ht="23.25" hidden="false" customHeight="true" outlineLevel="0" collapsed="false">
      <c r="A17" s="11" t="s">
        <v>663</v>
      </c>
      <c r="B17" s="11" t="s">
        <v>670</v>
      </c>
      <c r="C17" s="11" t="s">
        <v>671</v>
      </c>
      <c r="D17" s="11" t="s">
        <v>672</v>
      </c>
    </row>
    <row r="18" customFormat="false" ht="15" hidden="false" customHeight="true" outlineLevel="0" collapsed="false">
      <c r="A18" s="10" t="s">
        <v>663</v>
      </c>
      <c r="B18" s="10" t="s">
        <v>673</v>
      </c>
      <c r="C18" s="10" t="s">
        <v>674</v>
      </c>
      <c r="D18" s="10" t="s">
        <v>675</v>
      </c>
    </row>
    <row r="19" customFormat="false" ht="23.25" hidden="false" customHeight="true" outlineLevel="0" collapsed="false">
      <c r="A19" s="11" t="s">
        <v>676</v>
      </c>
      <c r="B19" s="11" t="s">
        <v>677</v>
      </c>
      <c r="C19" s="11" t="s">
        <v>678</v>
      </c>
      <c r="D19" s="11" t="s">
        <v>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4"/>
    <col collapsed="false" customWidth="true" hidden="false" outlineLevel="0" max="3" min="3" style="1" width="104"/>
  </cols>
  <sheetData>
    <row r="1" customFormat="false" ht="17.25" hidden="false" customHeight="true" outlineLevel="0" collapsed="false">
      <c r="A1" s="2" t="s">
        <v>12</v>
      </c>
    </row>
    <row r="3" customFormat="false" ht="27.75" hidden="false" customHeight="true" outlineLevel="0" collapsed="false">
      <c r="A3" s="9" t="s">
        <v>680</v>
      </c>
      <c r="B3" s="9" t="s">
        <v>681</v>
      </c>
      <c r="C3" s="9" t="s">
        <v>682</v>
      </c>
    </row>
    <row r="4" customFormat="false" ht="23.25" hidden="false" customHeight="true" outlineLevel="0" collapsed="false">
      <c r="A4" s="10" t="s">
        <v>683</v>
      </c>
      <c r="B4" s="10" t="s">
        <v>684</v>
      </c>
      <c r="C4" s="10" t="s">
        <v>685</v>
      </c>
    </row>
    <row r="5" customFormat="false" ht="23.25" hidden="false" customHeight="true" outlineLevel="0" collapsed="false">
      <c r="A5" s="11" t="s">
        <v>683</v>
      </c>
      <c r="B5" s="11" t="s">
        <v>686</v>
      </c>
      <c r="C5" s="11" t="s">
        <v>687</v>
      </c>
    </row>
    <row r="6" customFormat="false" ht="23.25" hidden="false" customHeight="true" outlineLevel="0" collapsed="false">
      <c r="A6" s="10" t="s">
        <v>634</v>
      </c>
      <c r="B6" s="10" t="s">
        <v>688</v>
      </c>
      <c r="C6" s="10" t="s">
        <v>689</v>
      </c>
    </row>
    <row r="7" customFormat="false" ht="23.25" hidden="false" customHeight="true" outlineLevel="0" collapsed="false">
      <c r="A7" s="11" t="s">
        <v>634</v>
      </c>
      <c r="B7" s="11" t="s">
        <v>690</v>
      </c>
      <c r="C7" s="11" t="s">
        <v>691</v>
      </c>
    </row>
    <row r="8" customFormat="false" ht="23.25" hidden="false" customHeight="true" outlineLevel="0" collapsed="false">
      <c r="A8" s="10" t="s">
        <v>634</v>
      </c>
      <c r="B8" s="10" t="s">
        <v>692</v>
      </c>
      <c r="C8" s="10" t="s">
        <v>693</v>
      </c>
    </row>
    <row r="9" customFormat="false" ht="15" hidden="false" customHeight="true" outlineLevel="0" collapsed="false">
      <c r="A9" s="11" t="s">
        <v>634</v>
      </c>
      <c r="B9" s="11" t="s">
        <v>694</v>
      </c>
      <c r="C9" s="11" t="s">
        <v>695</v>
      </c>
    </row>
    <row r="10" customFormat="false" ht="23.25" hidden="false" customHeight="true" outlineLevel="0" collapsed="false">
      <c r="A10" s="11" t="s">
        <v>647</v>
      </c>
      <c r="B10" s="11" t="s">
        <v>696</v>
      </c>
      <c r="C10" s="11" t="s">
        <v>697</v>
      </c>
    </row>
    <row r="11" customFormat="false" ht="15" hidden="false" customHeight="true" outlineLevel="0" collapsed="false">
      <c r="A11" s="10" t="s">
        <v>647</v>
      </c>
      <c r="B11" s="10" t="s">
        <v>698</v>
      </c>
      <c r="C11" s="10" t="s">
        <v>699</v>
      </c>
    </row>
    <row r="12" customFormat="false" ht="15" hidden="false" customHeight="true" outlineLevel="0" collapsed="false">
      <c r="A12" s="11" t="s">
        <v>647</v>
      </c>
      <c r="B12" s="11" t="s">
        <v>700</v>
      </c>
      <c r="C12" s="11" t="s">
        <v>701</v>
      </c>
    </row>
    <row r="13" customFormat="false" ht="15" hidden="false" customHeight="true" outlineLevel="0" collapsed="false">
      <c r="A13" s="10" t="s">
        <v>647</v>
      </c>
      <c r="B13" s="10" t="s">
        <v>702</v>
      </c>
      <c r="C13" s="10" t="s">
        <v>703</v>
      </c>
    </row>
    <row r="14" customFormat="false" ht="15" hidden="false" customHeight="true" outlineLevel="0" collapsed="false">
      <c r="A14" s="11" t="s">
        <v>663</v>
      </c>
      <c r="B14" s="11" t="s">
        <v>704</v>
      </c>
      <c r="C14" s="11" t="s">
        <v>705</v>
      </c>
    </row>
    <row r="15" customFormat="false" ht="15" hidden="false" customHeight="true" outlineLevel="0" collapsed="false">
      <c r="A15" s="10" t="s">
        <v>663</v>
      </c>
      <c r="B15" s="10" t="s">
        <v>706</v>
      </c>
      <c r="C15" s="10" t="s">
        <v>707</v>
      </c>
    </row>
    <row r="16"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2026-09-07T15:42:49Z</dcterms:created>
  <dc:creator>openpyxl</dc:creator>
  <dc:description/>
  <dc:language>en-US</dc:language>
  <cp:lastModifiedBy/>
  <dcterms:modified xsi:type="dcterms:W3CDTF">2026-09-08T20:59:52Z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